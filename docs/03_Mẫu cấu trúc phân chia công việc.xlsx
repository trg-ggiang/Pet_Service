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Mẫu cấu trúc phân chia công việ" sheetId="1" state="visible" r:id="rId1"/>
    <sheet xmlns:r="http://schemas.openxmlformats.org/officeDocument/2006/relationships" name="Pet Service WBS" sheetId="2" state="visible" r:id="rId2"/>
  </sheets>
  <definedNames>
    <definedName name="valuevx">'Mẫu cấu trúc phân chia công việ'!$A$1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dd\,\ mmm\ d\,\ yyyy"/>
    <numFmt numFmtId="165" formatCode="d"/>
    <numFmt numFmtId="166" formatCode="#,##0;\(#,##0\)"/>
    <numFmt numFmtId="167" formatCode="dd/mm/yyyy"/>
    <numFmt numFmtId="168" formatCode="dd/mm"/>
    <numFmt numFmtId="169" formatCode="yyyy\-mm\-dd"/>
    <numFmt numFmtId="170" formatCode="yyyy-mm-dd"/>
  </numFmts>
  <fonts count="26">
    <font>
      <name val="Arial"/>
      <color rgb="FF000000"/>
      <sz val="10"/>
    </font>
    <font>
      <name val="Barlow"/>
      <b val="1"/>
      <color rgb="FF003366"/>
      <sz val="20"/>
    </font>
    <font>
      <name val="Barlow"/>
      <color rgb="FF3F3F3F"/>
      <sz val="20"/>
    </font>
    <font>
      <name val="Barlow"/>
      <b val="1"/>
      <color rgb="FF999999"/>
      <sz val="16"/>
    </font>
    <font>
      <name val="Barlow"/>
      <sz val="11"/>
    </font>
    <font>
      <name val="Barlow"/>
      <b val="1"/>
      <sz val="11"/>
    </font>
    <font>
      <name val="Barlow"/>
      <color rgb="FF0000FF"/>
      <sz val="11"/>
      <u val="single"/>
    </font>
    <font>
      <name val="Barlow"/>
      <b val="1"/>
      <color rgb="FFFFFFFF"/>
      <sz val="11"/>
    </font>
    <font>
      <name val="Barlow"/>
      <b val="1"/>
      <color rgb="FF000000"/>
      <sz val="11"/>
    </font>
    <font>
      <name val="Barlow"/>
      <color rgb="FF7F7F7F"/>
      <sz val="9"/>
    </font>
    <font>
      <name val="Barlow"/>
      <color rgb="FF7F7F7F"/>
      <sz val="8"/>
    </font>
    <font>
      <name val="Barlow"/>
      <color rgb="FFFFFFFF"/>
      <sz val="1"/>
    </font>
    <font>
      <name val="Barlow"/>
      <color rgb="FF4F81BD"/>
      <sz val="10"/>
    </font>
    <font>
      <name val="Barlow"/>
      <b val="1"/>
      <color rgb="FF4F81BD"/>
      <sz val="11"/>
    </font>
    <font>
      <name val="Barlow"/>
      <b val="1"/>
      <color rgb="FF244061"/>
      <sz val="11"/>
    </font>
    <font>
      <name val="Barlow"/>
      <color rgb="FF4F81BD"/>
      <sz val="11"/>
    </font>
    <font>
      <name val="Barlow"/>
      <sz val="10"/>
    </font>
    <font>
      <name val="Barlow"/>
      <color rgb="FF4F81BD"/>
      <sz val="10"/>
    </font>
    <font>
      <name val="Barlow"/>
      <color rgb="FF366092"/>
      <sz val="10"/>
    </font>
    <font>
      <name val="Barlow"/>
      <color rgb="FF366092"/>
      <sz val="11"/>
    </font>
    <font>
      <name val="Arial"/>
      <b val="1"/>
      <color rgb="FFFFFFFF"/>
      <sz val="10"/>
    </font>
    <font>
      <name val="Arial"/>
      <b val="1"/>
      <color rgb="FF17365D"/>
      <sz val="18"/>
    </font>
    <font>
      <name val="Arial"/>
      <b val="1"/>
      <color rgb="FF17365D"/>
      <sz val="10"/>
    </font>
    <font>
      <b val="1"/>
      <color rgb="0017365D"/>
      <sz val="18"/>
    </font>
    <font>
      <b val="1"/>
      <color rgb="00FFFFFF"/>
    </font>
    <font>
      <b val="1"/>
      <color rgb="0017365D"/>
    </font>
  </fonts>
  <fills count="2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00A6A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00A6A6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4DFE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/>
      <right/>
      <top/>
      <bottom/>
      <diagonal/>
    </border>
    <border>
      <left/>
      <right style="thin">
        <color rgb="FF366092"/>
      </right>
      <top/>
      <bottom/>
      <diagonal/>
    </border>
    <border>
      <left style="thin">
        <color rgb="FF366092"/>
      </left>
      <right style="thin">
        <color rgb="FF366092"/>
      </right>
      <top/>
      <bottom/>
      <diagonal/>
    </border>
    <border>
      <left style="thin">
        <color rgb="FF366092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/>
      <bottom style="thin">
        <color rgb="FFBFBFBF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medium">
        <color rgb="FF4F81BD"/>
      </top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5"/>
  </cellStyleXfs>
  <cellXfs count="64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vertical="center"/>
    </xf>
    <xf numFmtId="0" fontId="4" fillId="2" borderId="1" pivotButton="0" quotePrefix="0" xfId="0"/>
    <xf numFmtId="0" fontId="2" fillId="2" borderId="1" applyAlignment="1" pivotButton="0" quotePrefix="0" xfId="0">
      <alignment horizontal="right" vertical="center"/>
    </xf>
    <xf numFmtId="0" fontId="5" fillId="2" borderId="1" pivotButton="0" quotePrefix="0" xfId="0"/>
    <xf numFmtId="0" fontId="6" fillId="0" borderId="0" applyAlignment="1" pivotButton="0" quotePrefix="0" xfId="0">
      <alignment vertical="top"/>
    </xf>
    <xf numFmtId="164" fontId="8" fillId="0" borderId="4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top"/>
    </xf>
    <xf numFmtId="0" fontId="4" fillId="2" borderId="5" pivotButton="0" quotePrefix="0" xfId="0"/>
    <xf numFmtId="14" fontId="4" fillId="2" borderId="5" pivotButton="0" quotePrefix="0" xfId="0"/>
    <xf numFmtId="0" fontId="11" fillId="2" borderId="5" pivotButton="0" quotePrefix="0" xfId="0"/>
    <xf numFmtId="0" fontId="12" fillId="0" borderId="0" pivotButton="0" quotePrefix="0" xfId="0"/>
    <xf numFmtId="0" fontId="7" fillId="3" borderId="6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165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166" fontId="13" fillId="0" borderId="0" applyAlignment="1" pivotButton="0" quotePrefix="0" xfId="0">
      <alignment vertical="center"/>
    </xf>
    <xf numFmtId="0" fontId="14" fillId="4" borderId="9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14" fontId="4" fillId="0" borderId="9" applyAlignment="1" pivotButton="0" quotePrefix="0" xfId="0">
      <alignment horizontal="center" vertical="center"/>
    </xf>
    <xf numFmtId="0" fontId="14" fillId="4" borderId="10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left" vertical="center"/>
    </xf>
    <xf numFmtId="14" fontId="4" fillId="0" borderId="10" applyAlignment="1" pivotButton="0" quotePrefix="0" xfId="0">
      <alignment horizontal="center" vertical="center"/>
    </xf>
    <xf numFmtId="166" fontId="13" fillId="0" borderId="0" pivotButton="0" quotePrefix="0" xfId="0"/>
    <xf numFmtId="0" fontId="15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167" fontId="0" fillId="0" borderId="0" pivotButton="0" quotePrefix="0" xfId="0"/>
    <xf numFmtId="0" fontId="0" fillId="0" borderId="12" applyAlignment="1" pivotButton="0" quotePrefix="0" xfId="0">
      <alignment vertical="top" wrapText="1"/>
    </xf>
    <xf numFmtId="167" fontId="0" fillId="0" borderId="12" applyAlignment="1" pivotButton="0" quotePrefix="0" xfId="0">
      <alignment vertical="top" wrapText="1"/>
    </xf>
    <xf numFmtId="0" fontId="21" fillId="0" borderId="0" pivotButton="0" quotePrefix="0" xfId="0"/>
    <xf numFmtId="0" fontId="20" fillId="7" borderId="12" applyAlignment="1" pivotButton="0" quotePrefix="0" xfId="0">
      <alignment vertical="top" wrapText="1"/>
    </xf>
    <xf numFmtId="0" fontId="22" fillId="6" borderId="12" applyAlignment="1" pivotButton="0" quotePrefix="0" xfId="0">
      <alignment vertical="top" wrapText="1"/>
    </xf>
    <xf numFmtId="0" fontId="20" fillId="8" borderId="12" applyAlignment="1" pivotButton="0" quotePrefix="0" xfId="0">
      <alignment vertical="top" wrapText="1"/>
    </xf>
    <xf numFmtId="167" fontId="22" fillId="6" borderId="12" applyAlignment="1" pivotButton="0" quotePrefix="0" xfId="0">
      <alignment vertical="top" wrapText="1"/>
    </xf>
    <xf numFmtId="0" fontId="20" fillId="12" borderId="12" applyAlignment="1" pivotButton="0" quotePrefix="0" xfId="0">
      <alignment vertical="top" wrapText="1"/>
    </xf>
    <xf numFmtId="0" fontId="20" fillId="9" borderId="12" applyAlignment="1" pivotButton="0" quotePrefix="0" xfId="0">
      <alignment vertical="top" wrapText="1"/>
    </xf>
    <xf numFmtId="0" fontId="20" fillId="10" borderId="12" applyAlignment="1" pivotButton="0" quotePrefix="0" xfId="0">
      <alignment vertical="top" wrapText="1"/>
    </xf>
    <xf numFmtId="0" fontId="20" fillId="11" borderId="12" applyAlignment="1" pivotButton="0" quotePrefix="0" xfId="0">
      <alignment vertical="top" wrapText="1"/>
    </xf>
    <xf numFmtId="168" fontId="0" fillId="0" borderId="12" applyAlignment="1" pivotButton="0" quotePrefix="0" xfId="0">
      <alignment vertical="top" wrapText="1"/>
    </xf>
    <xf numFmtId="169" fontId="0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23" fillId="0" borderId="0" pivotButton="0" quotePrefix="0" xfId="0"/>
    <xf numFmtId="0" fontId="24" fillId="13" borderId="14" applyAlignment="1" pivotButton="0" quotePrefix="0" xfId="0">
      <alignment vertical="top" wrapText="1"/>
    </xf>
    <xf numFmtId="0" fontId="24" fillId="14" borderId="14" applyAlignment="1" pivotButton="0" quotePrefix="0" xfId="0">
      <alignment vertical="top" wrapText="1"/>
    </xf>
    <xf numFmtId="0" fontId="24" fillId="15" borderId="14" applyAlignment="1" pivotButton="0" quotePrefix="0" xfId="0">
      <alignment vertical="top" wrapText="1"/>
    </xf>
    <xf numFmtId="0" fontId="24" fillId="16" borderId="14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168" fontId="0" fillId="0" borderId="14" applyAlignment="1" pivotButton="0" quotePrefix="0" xfId="0">
      <alignment vertical="top" wrapText="1"/>
    </xf>
    <xf numFmtId="0" fontId="24" fillId="17" borderId="14" applyAlignment="1" pivotButton="0" quotePrefix="0" xfId="0">
      <alignment vertical="top" wrapText="1"/>
    </xf>
    <xf numFmtId="0" fontId="24" fillId="18" borderId="14" applyAlignment="1" pivotButton="0" quotePrefix="0" xfId="0">
      <alignment vertical="top" wrapText="1"/>
    </xf>
    <xf numFmtId="0" fontId="25" fillId="19" borderId="14" applyAlignment="1" pivotButton="0" quotePrefix="0" xfId="0">
      <alignment vertical="top" wrapText="1"/>
    </xf>
    <xf numFmtId="167" fontId="25" fillId="19" borderId="14" applyAlignment="1" pivotButton="0" quotePrefix="0" xfId="0">
      <alignment vertical="top" wrapText="1"/>
    </xf>
    <xf numFmtId="167" fontId="0" fillId="0" borderId="14" applyAlignment="1" pivotButton="0" quotePrefix="0" xfId="0">
      <alignment vertical="top" wrapText="1"/>
    </xf>
    <xf numFmtId="0" fontId="0" fillId="20" borderId="14" applyAlignment="1" pivotButton="0" quotePrefix="0" xfId="0">
      <alignment vertical="top" wrapText="1"/>
    </xf>
    <xf numFmtId="167" fontId="0" fillId="20" borderId="14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8CCE4"/>
          <bgColor rgb="FFB8CCE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Tình trạng nhiệm vụ</a:t>
            </a:r>
          </a:p>
        </rich>
      </tx>
    </title>
    <plotArea>
      <doughnutChart>
        <varyColors val="1"/>
        <ser>
          <idx val="0"/>
          <order val="0"/>
          <tx>
            <strRef>
              <f>'Pet Service WBS'!C42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Service WBS'!$B$43</f>
            </numRef>
          </cat>
          <val>
            <numRef>
              <f>'Pet Service WBS'!$C$43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Story point theo thành viên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'Pet Service WBS'!I42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Service WBS'!$H$43:$H$47</f>
            </numRef>
          </cat>
          <val>
            <numRef>
              <f>'Pet Service WBS'!$I$43:$I$47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Story point theo sprint</a:t>
            </a:r>
          </a:p>
        </rich>
      </tx>
    </title>
    <plotArea>
      <lineChart>
        <grouping val="standard"/>
        <ser>
          <idx val="0"/>
          <order val="0"/>
          <tx>
            <strRef>
              <f>'Pet Service WBS'!N42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'Pet Service WBS'!$K$43:$K$48</f>
            </numRef>
          </cat>
          <val>
            <numRef>
              <f>'Pet Service WBS'!$N$43:$N$48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Mức độ ưu tiên</a:t>
            </a:r>
          </a:p>
        </rich>
      </tx>
    </title>
    <plotArea>
      <pieChart>
        <varyColors val="1"/>
        <ser>
          <idx val="0"/>
          <order val="0"/>
          <tx>
            <strRef>
              <f>'Pet Service WBS'!F42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Service WBS'!$E$43:$E$45</f>
            </numRef>
          </cat>
          <val>
            <numRef>
              <f>'Pet Service WBS'!$F$43:$F$45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Code vs Docs/Demo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'Pet Service WBS'!Q42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Service WBS'!$P$43:$P$44</f>
            </numRef>
          </cat>
          <val>
            <numRef>
              <f>'Pet Service WBS'!$Q$43:$Q$44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50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50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50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66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66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I51"/>
  <sheetViews>
    <sheetView showGridLines="0" topLeftCell="A6" workbookViewId="0">
      <selection activeCell="A18" sqref="A18"/>
    </sheetView>
  </sheetViews>
  <sheetFormatPr baseColWidth="8" defaultColWidth="15.109375" defaultRowHeight="15" customHeight="1"/>
  <cols>
    <col width="7.21875" customWidth="1" min="1" max="1"/>
    <col width="10.44140625" customWidth="1" min="2" max="2"/>
    <col width="26.44140625" customWidth="1" min="3" max="3"/>
    <col width="14.21875" customWidth="1" min="4" max="4"/>
    <col width="11.21875" customWidth="1" min="5" max="6"/>
    <col width="27.109375" customWidth="1" min="7" max="8"/>
    <col width="29.6640625" customWidth="1" min="9" max="9"/>
  </cols>
  <sheetData>
    <row r="1" ht="33.75" customHeight="1">
      <c r="A1" s="2" t="inlineStr">
        <is>
          <t>Name of Project</t>
        </is>
      </c>
      <c r="B1" s="3" t="n"/>
      <c r="C1" s="3" t="n"/>
      <c r="D1" s="3" t="n"/>
      <c r="E1" s="3" t="n"/>
      <c r="F1" s="3" t="n"/>
      <c r="G1" s="4" t="n"/>
      <c r="H1" s="4" t="n"/>
      <c r="I1" s="1" t="n"/>
    </row>
    <row r="2" ht="13.5" customHeight="1">
      <c r="A2" s="5" t="n"/>
      <c r="B2" s="3" t="n"/>
      <c r="C2" s="3" t="n"/>
      <c r="D2" s="3" t="n"/>
      <c r="E2" s="3" t="n"/>
      <c r="F2" s="3" t="n"/>
      <c r="G2" s="3" t="n"/>
      <c r="H2" s="3" t="n"/>
      <c r="I2" s="6" t="n"/>
    </row>
    <row r="3" ht="21.75" customHeight="1">
      <c r="A3" s="48" t="inlineStr">
        <is>
          <t>Project Start</t>
        </is>
      </c>
      <c r="B3" s="49" t="n"/>
      <c r="C3" s="7" t="n">
        <v>45135</v>
      </c>
      <c r="D3" s="8" t="n"/>
      <c r="E3" s="3" t="n"/>
      <c r="F3" s="3" t="n"/>
      <c r="G3" s="9" t="n"/>
      <c r="H3" s="9" t="n"/>
      <c r="I3" s="10" t="n"/>
    </row>
    <row r="4" ht="16.5" customHeight="1">
      <c r="A4" s="11" t="n"/>
      <c r="B4" s="11" t="n"/>
      <c r="C4" s="12" t="n"/>
      <c r="D4" s="12" t="n"/>
      <c r="E4" s="11" t="n"/>
      <c r="F4" s="13" t="inlineStr">
        <is>
          <t>[42]</t>
        </is>
      </c>
      <c r="G4" s="12" t="n"/>
      <c r="H4" s="12" t="n"/>
      <c r="I4" s="14" t="n"/>
    </row>
    <row r="5" ht="26.25" customHeight="1">
      <c r="A5" s="15" t="inlineStr">
        <is>
          <t>Level</t>
        </is>
      </c>
      <c r="B5" s="16" t="inlineStr">
        <is>
          <t>WBS</t>
        </is>
      </c>
      <c r="C5" s="16" t="inlineStr">
        <is>
          <t>Task Description</t>
        </is>
      </c>
      <c r="D5" s="16" t="inlineStr">
        <is>
          <t>Assigned To</t>
        </is>
      </c>
      <c r="E5" s="17" t="inlineStr">
        <is>
          <t>Start</t>
        </is>
      </c>
      <c r="F5" s="17" t="inlineStr">
        <is>
          <t>End</t>
        </is>
      </c>
      <c r="G5" s="18" t="inlineStr">
        <is>
          <t>Notes</t>
        </is>
      </c>
      <c r="H5" s="18" t="inlineStr">
        <is>
          <t>Chi phí</t>
        </is>
      </c>
      <c r="I5" s="19" t="n"/>
    </row>
    <row r="6" ht="21" customHeight="1">
      <c r="A6" s="20" t="n">
        <v>1</v>
      </c>
      <c r="B6" s="21">
        <f>IF(A6="","",IF(A6&gt;OFFSET(A6,-1,0,1,1),IF(OFFSET(B6,-1,0,1,1)="","1",OFFSET(B6,-1,0,1,1))&amp;REPT(".1",A6-MAX(OFFSET(A6,-1,0,1,1),1)),IF(ISERROR(FIND(".",OFFSET(B6,-1,0,1,1))),REPT("1.",A6-1)&amp;IFERROR(VALUE(OFFSET(B6,-1,0,1,1))+1,"1"),IF(A6=1,"",IFERROR(LEFT(OFFSET(B6,-1,0,1,1),FIND("^",SUBSTITUTE(OFFSET(B6,-1,0,1,1),".","^",A6-1))),""))&amp;VALUE(TRIM(MID(SUBSTITUTE(OFFSET(B6,-1,0,1,1),".",REPT(" ",LEN(OFFSET(B6,-1,0,1,1)))),(A6-1)*LEN(OFFSET(B6,-1,0,1,1))+1,LEN(OFFSET(B6,-1,0,1,1)))))+1)))</f>
        <v/>
      </c>
      <c r="C6" s="22" t="inlineStr">
        <is>
          <t>Sprint 1</t>
        </is>
      </c>
      <c r="D6" s="22" t="n"/>
      <c r="E6" s="23" t="n"/>
      <c r="F6" s="23" t="n"/>
      <c r="G6" s="22" t="n"/>
      <c r="H6" s="22" t="n"/>
      <c r="I6" s="14" t="n"/>
    </row>
    <row r="7" ht="21" customHeight="1">
      <c r="A7" s="24" t="n">
        <v>2</v>
      </c>
      <c r="B7" s="25">
        <f>IF(A7="","",IF(A7&gt;OFFSET(A7,-1,0,1,1),IF(OFFSET(B7,-1,0,1,1)="","1",OFFSET(B7,-1,0,1,1))&amp;REPT(".1",A7-MAX(OFFSET(A7,-1,0,1,1),1)),IF(ISERROR(FIND(".",OFFSET(B7,-1,0,1,1))),REPT("1.",A7-1)&amp;IFERROR(VALUE(OFFSET(B7,-1,0,1,1))+1,"1"),IF(A7=1,"",IFERROR(LEFT(OFFSET(B7,-1,0,1,1),FIND("^",SUBSTITUTE(OFFSET(B7,-1,0,1,1),".","^",A7-1))),""))&amp;VALUE(TRIM(MID(SUBSTITUTE(OFFSET(B7,-1,0,1,1),".",REPT(" ",LEN(OFFSET(B7,-1,0,1,1)))),(A7-1)*LEN(OFFSET(B7,-1,0,1,1))+1,LEN(OFFSET(B7,-1,0,1,1)))))+1)))</f>
        <v/>
      </c>
      <c r="C7" s="22">
        <f>"Task Level "&amp;A7&amp;" /Feature Description"</f>
        <v/>
      </c>
      <c r="D7" s="22" t="n"/>
      <c r="E7" s="26" t="n"/>
      <c r="F7" s="26" t="n"/>
      <c r="G7" s="22" t="n"/>
      <c r="H7" s="22" t="n"/>
      <c r="I7" s="14" t="n"/>
    </row>
    <row r="8" ht="21" customHeight="1">
      <c r="A8" s="24" t="n">
        <v>2</v>
      </c>
      <c r="B8" s="25">
        <f>IF(A8="","",IF(A8&gt;OFFSET(A8,-1,0,1,1),IF(OFFSET(B8,-1,0,1,1)="","1",OFFSET(B8,-1,0,1,1))&amp;REPT(".1",A8-MAX(OFFSET(A8,-1,0,1,1),1)),IF(ISERROR(FIND(".",OFFSET(B8,-1,0,1,1))),REPT("1.",A8-1)&amp;IFERROR(VALUE(OFFSET(B8,-1,0,1,1))+1,"1"),IF(A8=1,"",IFERROR(LEFT(OFFSET(B8,-1,0,1,1),FIND("^",SUBSTITUTE(OFFSET(B8,-1,0,1,1),".","^",A8-1))),""))&amp;VALUE(TRIM(MID(SUBSTITUTE(OFFSET(B8,-1,0,1,1),".",REPT(" ",LEN(OFFSET(B8,-1,0,1,1)))),(A8-1)*LEN(OFFSET(B8,-1,0,1,1))+1,LEN(OFFSET(B8,-1,0,1,1)))))+1)))</f>
        <v/>
      </c>
      <c r="C8" s="22">
        <f>"Task Level "&amp;A8&amp;" /Feature  Description"</f>
        <v/>
      </c>
      <c r="D8" s="22" t="n"/>
      <c r="E8" s="26" t="n"/>
      <c r="F8" s="26" t="n"/>
      <c r="G8" s="22" t="n"/>
      <c r="H8" s="22" t="n"/>
      <c r="I8" s="27" t="n"/>
    </row>
    <row r="9" ht="21" customHeight="1">
      <c r="A9" s="24" t="n">
        <v>3</v>
      </c>
      <c r="B9" s="25">
        <f>IF(A9="","",IF(A9&gt;OFFSET(A9,-1,0,1,1),IF(OFFSET(B9,-1,0,1,1)="","1",OFFSET(B9,-1,0,1,1))&amp;REPT(".1",A9-MAX(OFFSET(A9,-1,0,1,1),1)),IF(ISERROR(FIND(".",OFFSET(B9,-1,0,1,1))),REPT("1.",A9-1)&amp;IFERROR(VALUE(OFFSET(B9,-1,0,1,1))+1,"1"),IF(A9=1,"",IFERROR(LEFT(OFFSET(B9,-1,0,1,1),FIND("^",SUBSTITUTE(OFFSET(B9,-1,0,1,1),".","^",A9-1))),""))&amp;VALUE(TRIM(MID(SUBSTITUTE(OFFSET(B9,-1,0,1,1),".",REPT(" ",LEN(OFFSET(B9,-1,0,1,1)))),(A9-1)*LEN(OFFSET(B9,-1,0,1,1))+1,LEN(OFFSET(B9,-1,0,1,1)))))+1)))</f>
        <v/>
      </c>
      <c r="C9" s="22">
        <f>"Task Level "&amp;A9&amp;" / User Story Description"</f>
        <v/>
      </c>
      <c r="D9" s="22" t="n"/>
      <c r="E9" s="26" t="n"/>
      <c r="F9" s="26" t="n"/>
      <c r="G9" s="22" t="n"/>
      <c r="H9" s="22" t="n"/>
      <c r="I9" s="28" t="n"/>
    </row>
    <row r="10" ht="21" customHeight="1">
      <c r="A10" s="24" t="n">
        <v>3</v>
      </c>
      <c r="B10" s="25">
        <f>IF(A10="","",IF(A10&gt;OFFSET(A10,-1,0,1,1),IF(OFFSET(B10,-1,0,1,1)="","1",OFFSET(B10,-1,0,1,1))&amp;REPT(".1",A10-MAX(OFFSET(A10,-1,0,1,1),1)),IF(ISERROR(FIND(".",OFFSET(B10,-1,0,1,1))),REPT("1.",A10-1)&amp;IFERROR(VALUE(OFFSET(B10,-1,0,1,1))+1,"1"),IF(A10=1,"",IFERROR(LEFT(OFFSET(B10,-1,0,1,1),FIND("^",SUBSTITUTE(OFFSET(B10,-1,0,1,1),".","^",A10-1))),""))&amp;VALUE(TRIM(MID(SUBSTITUTE(OFFSET(B10,-1,0,1,1),".",REPT(" ",LEN(OFFSET(B10,-1,0,1,1)))),(A10-1)*LEN(OFFSET(B10,-1,0,1,1))+1,LEN(OFFSET(B10,-1,0,1,1)))))+1)))</f>
        <v/>
      </c>
      <c r="C10" s="22">
        <f>"Task Level "&amp;A10&amp;" / User Story Description"</f>
        <v/>
      </c>
      <c r="D10" s="22" t="n"/>
      <c r="E10" s="26" t="n"/>
      <c r="F10" s="26" t="n"/>
      <c r="G10" s="22" t="n"/>
      <c r="H10" s="22" t="n"/>
      <c r="I10" s="28" t="n"/>
    </row>
    <row r="11" ht="21" customHeight="1">
      <c r="A11" s="24" t="n">
        <v>5</v>
      </c>
      <c r="B11" s="25">
        <f>IF(A11="","",IF(A11&gt;OFFSET(A11,-1,0,1,1),IF(OFFSET(B11,-1,0,1,1)="","1",OFFSET(B11,-1,0,1,1))&amp;REPT(".1",A11-MAX(OFFSET(A11,-1,0,1,1),1)),IF(ISERROR(FIND(".",OFFSET(B11,-1,0,1,1))),REPT("1.",A11-1)&amp;IFERROR(VALUE(OFFSET(B11,-1,0,1,1))+1,"1"),IF(A11=1,"",IFERROR(LEFT(OFFSET(B11,-1,0,1,1),FIND("^",SUBSTITUTE(OFFSET(B11,-1,0,1,1),".","^",A11-1))),""))&amp;VALUE(TRIM(MID(SUBSTITUTE(OFFSET(B11,-1,0,1,1),".",REPT(" ",LEN(OFFSET(B11,-1,0,1,1)))),(A11-1)*LEN(OFFSET(B11,-1,0,1,1))+1,LEN(OFFSET(B11,-1,0,1,1)))))+1)))</f>
        <v/>
      </c>
      <c r="C11" s="22">
        <f>"Task Level "&amp;A11&amp;" Description"</f>
        <v/>
      </c>
      <c r="D11" s="22" t="n"/>
      <c r="E11" s="26" t="n"/>
      <c r="F11" s="26" t="n"/>
      <c r="G11" s="22" t="n"/>
      <c r="H11" s="22" t="n"/>
      <c r="I11" s="28" t="n"/>
    </row>
    <row r="12" ht="21" customHeight="1">
      <c r="A12" s="24" t="n">
        <v>6</v>
      </c>
      <c r="B12" s="25">
        <f>IF(A12="","",IF(A12&gt;OFFSET(A12,-1,0,1,1),IF(OFFSET(B12,-1,0,1,1)="","1",OFFSET(B12,-1,0,1,1))&amp;REPT(".1",A12-MAX(OFFSET(A12,-1,0,1,1),1)),IF(ISERROR(FIND(".",OFFSET(B12,-1,0,1,1))),REPT("1.",A12-1)&amp;IFERROR(VALUE(OFFSET(B12,-1,0,1,1))+1,"1"),IF(A12=1,"",IFERROR(LEFT(OFFSET(B12,-1,0,1,1),FIND("^",SUBSTITUTE(OFFSET(B12,-1,0,1,1),".","^",A12-1))),""))&amp;VALUE(TRIM(MID(SUBSTITUTE(OFFSET(B12,-1,0,1,1),".",REPT(" ",LEN(OFFSET(B12,-1,0,1,1)))),(A12-1)*LEN(OFFSET(B12,-1,0,1,1))+1,LEN(OFFSET(B12,-1,0,1,1)))))+1)))</f>
        <v/>
      </c>
      <c r="C12" s="22">
        <f>"Task Level "&amp;A12&amp;" Description"</f>
        <v/>
      </c>
      <c r="D12" s="22" t="n"/>
      <c r="E12" s="26" t="n"/>
      <c r="F12" s="26" t="n"/>
      <c r="G12" s="22" t="n"/>
      <c r="H12" s="22" t="n"/>
      <c r="I12" s="29" t="n"/>
    </row>
    <row r="13" ht="21" customHeight="1">
      <c r="A13" s="24" t="n">
        <v>4</v>
      </c>
      <c r="B13" s="25">
        <f>IF(A13="","",IF(A13&gt;OFFSET(A13,-1,0,1,1),IF(OFFSET(B13,-1,0,1,1)="","1",OFFSET(B13,-1,0,1,1))&amp;REPT(".1",A13-MAX(OFFSET(A13,-1,0,1,1),1)),IF(ISERROR(FIND(".",OFFSET(B13,-1,0,1,1))),REPT("1.",A13-1)&amp;IFERROR(VALUE(OFFSET(B13,-1,0,1,1))+1,"1"),IF(A13=1,"",IFERROR(LEFT(OFFSET(B13,-1,0,1,1),FIND("^",SUBSTITUTE(OFFSET(B13,-1,0,1,1),".","^",A13-1))),""))&amp;VALUE(TRIM(MID(SUBSTITUTE(OFFSET(B13,-1,0,1,1),".",REPT(" ",LEN(OFFSET(B13,-1,0,1,1)))),(A13-1)*LEN(OFFSET(B13,-1,0,1,1))+1,LEN(OFFSET(B13,-1,0,1,1)))))+1)))</f>
        <v/>
      </c>
      <c r="C13" s="22">
        <f>"Task Level "&amp;A13&amp;" Description"</f>
        <v/>
      </c>
      <c r="D13" s="22" t="n"/>
      <c r="E13" s="26" t="n"/>
      <c r="F13" s="26" t="n"/>
      <c r="G13" s="22" t="n"/>
      <c r="H13" s="22" t="n"/>
      <c r="I13" s="30" t="n"/>
    </row>
    <row r="14" ht="21" customHeight="1">
      <c r="A14" s="24" t="n">
        <v>2</v>
      </c>
      <c r="B14" s="25">
        <f>IF(A14="","",IF(A14&gt;OFFSET(A14,-1,0,1,1),IF(OFFSET(B14,-1,0,1,1)="","1",OFFSET(B14,-1,0,1,1))&amp;REPT(".1",A14-MAX(OFFSET(A14,-1,0,1,1),1)),IF(ISERROR(FIND(".",OFFSET(B14,-1,0,1,1))),REPT("1.",A14-1)&amp;IFERROR(VALUE(OFFSET(B14,-1,0,1,1))+1,"1"),IF(A14=1,"",IFERROR(LEFT(OFFSET(B14,-1,0,1,1),FIND("^",SUBSTITUTE(OFFSET(B14,-1,0,1,1),".","^",A14-1))),""))&amp;VALUE(TRIM(MID(SUBSTITUTE(OFFSET(B14,-1,0,1,1),".",REPT(" ",LEN(OFFSET(B14,-1,0,1,1)))),(A14-1)*LEN(OFFSET(B14,-1,0,1,1))+1,LEN(OFFSET(B14,-1,0,1,1)))))+1)))</f>
        <v/>
      </c>
      <c r="C14" s="22">
        <f>"Task Level "&amp;A14&amp;" /Feature Description"</f>
        <v/>
      </c>
      <c r="D14" s="22" t="n"/>
      <c r="E14" s="26" t="n"/>
      <c r="F14" s="26" t="n"/>
      <c r="G14" s="22" t="n"/>
      <c r="H14" s="22" t="n"/>
      <c r="I14" s="30" t="n"/>
    </row>
    <row r="15" ht="21" customHeight="1">
      <c r="A15" s="24" t="n">
        <v>1</v>
      </c>
      <c r="B15" s="25">
        <f>IF(A15="","",IF(A15&gt;OFFSET(A15,-1,0,1,1),IF(OFFSET(B15,-1,0,1,1)="","1",OFFSET(B15,-1,0,1,1))&amp;REPT(".1",A15-MAX(OFFSET(A15,-1,0,1,1),1)),IF(ISERROR(FIND(".",OFFSET(B15,-1,0,1,1))),REPT("1.",A15-1)&amp;IFERROR(VALUE(OFFSET(B15,-1,0,1,1))+1,"1"),IF(A15=1,"",IFERROR(LEFT(OFFSET(B15,-1,0,1,1),FIND("^",SUBSTITUTE(OFFSET(B15,-1,0,1,1),".","^",A15-1))),""))&amp;VALUE(TRIM(MID(SUBSTITUTE(OFFSET(B15,-1,0,1,1),".",REPT(" ",LEN(OFFSET(B15,-1,0,1,1)))),(A15-1)*LEN(OFFSET(B15,-1,0,1,1))+1,LEN(OFFSET(B15,-1,0,1,1)))))+1)))</f>
        <v/>
      </c>
      <c r="C15" s="22" t="inlineStr">
        <is>
          <t>Sprint 2</t>
        </is>
      </c>
      <c r="D15" s="22" t="n"/>
      <c r="E15" s="26" t="n"/>
      <c r="F15" s="26" t="n"/>
      <c r="G15" s="22" t="n"/>
      <c r="H15" s="22" t="n"/>
      <c r="I15" s="31" t="n"/>
    </row>
    <row r="16" ht="21" customHeight="1">
      <c r="A16" s="24" t="n">
        <v>2</v>
      </c>
      <c r="B16" s="25">
        <f>IF(A16="","",IF(A16&gt;OFFSET(A16,-1,0,1,1),IF(OFFSET(B16,-1,0,1,1)="","1",OFFSET(B16,-1,0,1,1))&amp;REPT(".1",A16-MAX(OFFSET(A16,-1,0,1,1),1)),IF(ISERROR(FIND(".",OFFSET(B16,-1,0,1,1))),REPT("1.",A16-1)&amp;IFERROR(VALUE(OFFSET(B16,-1,0,1,1))+1,"1"),IF(A16=1,"",IFERROR(LEFT(OFFSET(B16,-1,0,1,1),FIND("^",SUBSTITUTE(OFFSET(B16,-1,0,1,1),".","^",A16-1))),""))&amp;VALUE(TRIM(MID(SUBSTITUTE(OFFSET(B16,-1,0,1,1),".",REPT(" ",LEN(OFFSET(B16,-1,0,1,1)))),(A16-1)*LEN(OFFSET(B16,-1,0,1,1))+1,LEN(OFFSET(B16,-1,0,1,1)))))+1)))</f>
        <v/>
      </c>
      <c r="C16" s="22">
        <f>"Task Level "&amp;A16&amp;" /Feature Description"</f>
        <v/>
      </c>
      <c r="D16" s="22" t="n"/>
      <c r="E16" s="26" t="n"/>
      <c r="F16" s="26" t="n"/>
      <c r="G16" s="22" t="n"/>
      <c r="H16" s="22" t="n"/>
      <c r="I16" s="31" t="n"/>
    </row>
    <row r="17" ht="21" customHeight="1">
      <c r="A17" s="24" t="n">
        <v>3</v>
      </c>
      <c r="B17" s="25">
        <f>IF(A17="","",IF(A17&gt;OFFSET(A17,-1,0,1,1),IF(OFFSET(B17,-1,0,1,1)="","1",OFFSET(B17,-1,0,1,1))&amp;REPT(".1",A17-MAX(OFFSET(A17,-1,0,1,1),1)),IF(ISERROR(FIND(".",OFFSET(B17,-1,0,1,1))),REPT("1.",A17-1)&amp;IFERROR(VALUE(OFFSET(B17,-1,0,1,1))+1,"1"),IF(A17=1,"",IFERROR(LEFT(OFFSET(B17,-1,0,1,1),FIND("^",SUBSTITUTE(OFFSET(B17,-1,0,1,1),".","^",A17-1))),""))&amp;VALUE(TRIM(MID(SUBSTITUTE(OFFSET(B17,-1,0,1,1),".",REPT(" ",LEN(OFFSET(B17,-1,0,1,1)))),(A17-1)*LEN(OFFSET(B17,-1,0,1,1))+1,LEN(OFFSET(B17,-1,0,1,1)))))+1)))</f>
        <v/>
      </c>
      <c r="C17" s="22">
        <f>"Task Level "&amp;A17&amp;" / User Story Description"</f>
        <v/>
      </c>
      <c r="D17" s="22" t="n"/>
      <c r="E17" s="26" t="n"/>
      <c r="F17" s="26" t="n"/>
      <c r="G17" s="22" t="n"/>
      <c r="H17" s="22" t="n"/>
      <c r="I17" s="31" t="n"/>
    </row>
    <row r="18" ht="21" customHeight="1">
      <c r="A18" s="24" t="n">
        <v>4</v>
      </c>
      <c r="B18" s="25">
        <f>IF(A18="","",IF(A18&gt;OFFSET(A18,-1,0,1,1),IF(OFFSET(B18,-1,0,1,1)="","1",OFFSET(B18,-1,0,1,1))&amp;REPT(".1",A18-MAX(OFFSET(A18,-1,0,1,1),1)),IF(ISERROR(FIND(".",OFFSET(B18,-1,0,1,1))),REPT("1.",A18-1)&amp;IFERROR(VALUE(OFFSET(B18,-1,0,1,1))+1,"1"),IF(A18=1,"",IFERROR(LEFT(OFFSET(B18,-1,0,1,1),FIND("^",SUBSTITUTE(OFFSET(B18,-1,0,1,1),".","^",A18-1))),""))&amp;VALUE(TRIM(MID(SUBSTITUTE(OFFSET(B18,-1,0,1,1),".",REPT(" ",LEN(OFFSET(B18,-1,0,1,1)))),(A18-1)*LEN(OFFSET(B18,-1,0,1,1))+1,LEN(OFFSET(B18,-1,0,1,1)))))+1)))</f>
        <v/>
      </c>
      <c r="C18" s="22">
        <f>"Task Level "&amp;A18&amp;" Description"</f>
        <v/>
      </c>
      <c r="D18" s="33" t="n"/>
      <c r="E18" s="26" t="n"/>
      <c r="F18" s="26" t="n"/>
      <c r="G18" s="33" t="n"/>
      <c r="H18" s="33" t="n"/>
      <c r="I18" s="31" t="n"/>
    </row>
    <row r="19" ht="21" customHeight="1">
      <c r="A19" s="24" t="n">
        <v>3</v>
      </c>
      <c r="B19" s="25">
        <f>IF(A19="","",IF(A19&gt;OFFSET(A19,-1,0,1,1),IF(OFFSET(B19,-1,0,1,1)="","1",OFFSET(B19,-1,0,1,1))&amp;REPT(".1",A19-MAX(OFFSET(A19,-1,0,1,1),1)),IF(ISERROR(FIND(".",OFFSET(B19,-1,0,1,1))),REPT("1.",A19-1)&amp;IFERROR(VALUE(OFFSET(B19,-1,0,1,1))+1,"1"),IF(A19=1,"",IFERROR(LEFT(OFFSET(B19,-1,0,1,1),FIND("^",SUBSTITUTE(OFFSET(B19,-1,0,1,1),".","^",A19-1))),""))&amp;VALUE(TRIM(MID(SUBSTITUTE(OFFSET(B19,-1,0,1,1),".",REPT(" ",LEN(OFFSET(B19,-1,0,1,1)))),(A19-1)*LEN(OFFSET(B19,-1,0,1,1))+1,LEN(OFFSET(B19,-1,0,1,1)))))+1)))</f>
        <v/>
      </c>
      <c r="C19" s="22">
        <f>"Task Level "&amp;A19&amp;" / User Story Description"</f>
        <v/>
      </c>
      <c r="D19" s="22" t="n"/>
      <c r="E19" s="26" t="n"/>
      <c r="F19" s="26" t="n"/>
      <c r="G19" s="22" t="n"/>
      <c r="H19" s="22" t="n"/>
      <c r="I19" s="31" t="n"/>
    </row>
    <row r="20" ht="21" customHeight="1">
      <c r="A20" s="24" t="n">
        <v>1</v>
      </c>
      <c r="B20" s="25">
        <f>IF(A20="","",IF(A20&gt;OFFSET(A20,-1,0,1,1),IF(OFFSET(B20,-1,0,1,1)="","1",OFFSET(B20,-1,0,1,1))&amp;REPT(".1",A20-MAX(OFFSET(A20,-1,0,1,1),1)),IF(ISERROR(FIND(".",OFFSET(B20,-1,0,1,1))),REPT("1.",A20-1)&amp;IFERROR(VALUE(OFFSET(B20,-1,0,1,1))+1,"1"),IF(A20=1,"",IFERROR(LEFT(OFFSET(B20,-1,0,1,1),FIND("^",SUBSTITUTE(OFFSET(B20,-1,0,1,1),".","^",A20-1))),""))&amp;VALUE(TRIM(MID(SUBSTITUTE(OFFSET(B20,-1,0,1,1),".",REPT(" ",LEN(OFFSET(B20,-1,0,1,1)))),(A20-1)*LEN(OFFSET(B20,-1,0,1,1))+1,LEN(OFFSET(B20,-1,0,1,1)))))+1)))</f>
        <v/>
      </c>
      <c r="C20" s="22" t="inlineStr">
        <is>
          <t>Sprint 3</t>
        </is>
      </c>
      <c r="D20" s="22" t="n"/>
      <c r="E20" s="26" t="n"/>
      <c r="F20" s="26" t="n"/>
      <c r="G20" s="22" t="n"/>
      <c r="H20" s="22" t="n"/>
      <c r="I20" s="31" t="n"/>
    </row>
    <row r="21" ht="21" customHeight="1">
      <c r="A21" s="24" t="n">
        <v>2</v>
      </c>
      <c r="B21" s="25">
        <f>IF(A21="","",IF(A21&gt;OFFSET(A21,-1,0,1,1),IF(OFFSET(B21,-1,0,1,1)="","1",OFFSET(B21,-1,0,1,1))&amp;REPT(".1",A21-MAX(OFFSET(A21,-1,0,1,1),1)),IF(ISERROR(FIND(".",OFFSET(B21,-1,0,1,1))),REPT("1.",A21-1)&amp;IFERROR(VALUE(OFFSET(B21,-1,0,1,1))+1,"1"),IF(A21=1,"",IFERROR(LEFT(OFFSET(B21,-1,0,1,1),FIND("^",SUBSTITUTE(OFFSET(B21,-1,0,1,1),".","^",A21-1))),""))&amp;VALUE(TRIM(MID(SUBSTITUTE(OFFSET(B21,-1,0,1,1),".",REPT(" ",LEN(OFFSET(B21,-1,0,1,1)))),(A21-1)*LEN(OFFSET(B21,-1,0,1,1))+1,LEN(OFFSET(B21,-1,0,1,1)))))+1)))</f>
        <v/>
      </c>
      <c r="C21" s="22">
        <f>"Task Level "&amp;A21&amp;" /Feature Description"</f>
        <v/>
      </c>
      <c r="D21" s="22" t="n"/>
      <c r="E21" s="26" t="n"/>
      <c r="F21" s="26" t="n"/>
      <c r="G21" s="22" t="n"/>
      <c r="H21" s="22" t="n"/>
      <c r="I21" s="3" t="n"/>
    </row>
    <row r="22" ht="21" customHeight="1">
      <c r="A22" s="24" t="n">
        <v>3</v>
      </c>
      <c r="B22" s="25">
        <f>IF(A22="","",IF(A22&gt;OFFSET(A22,-1,0,1,1),IF(OFFSET(B22,-1,0,1,1)="","1",OFFSET(B22,-1,0,1,1))&amp;REPT(".1",A22-MAX(OFFSET(A22,-1,0,1,1),1)),IF(ISERROR(FIND(".",OFFSET(B22,-1,0,1,1))),REPT("1.",A22-1)&amp;IFERROR(VALUE(OFFSET(B22,-1,0,1,1))+1,"1"),IF(A22=1,"",IFERROR(LEFT(OFFSET(B22,-1,0,1,1),FIND("^",SUBSTITUTE(OFFSET(B22,-1,0,1,1),".","^",A22-1))),""))&amp;VALUE(TRIM(MID(SUBSTITUTE(OFFSET(B22,-1,0,1,1),".",REPT(" ",LEN(OFFSET(B22,-1,0,1,1)))),(A22-1)*LEN(OFFSET(B22,-1,0,1,1))+1,LEN(OFFSET(B22,-1,0,1,1)))))+1)))</f>
        <v/>
      </c>
      <c r="C22" s="22">
        <f>"Task Level "&amp;A22&amp;" / User Story Description"</f>
        <v/>
      </c>
      <c r="D22" s="22" t="n"/>
      <c r="E22" s="26" t="n"/>
      <c r="F22" s="26" t="n"/>
      <c r="G22" s="22" t="n"/>
      <c r="H22" s="22" t="n"/>
      <c r="I22" s="3" t="n"/>
    </row>
    <row r="23" ht="21" customHeight="1">
      <c r="A23" s="24" t="n">
        <v>4</v>
      </c>
      <c r="B23" s="25">
        <f>IF(A23="","",IF(A23&gt;OFFSET(A23,-1,0,1,1),IF(OFFSET(B23,-1,0,1,1)="","1",OFFSET(B23,-1,0,1,1))&amp;REPT(".1",A23-MAX(OFFSET(A23,-1,0,1,1),1)),IF(ISERROR(FIND(".",OFFSET(B23,-1,0,1,1))),REPT("1.",A23-1)&amp;IFERROR(VALUE(OFFSET(B23,-1,0,1,1))+1,"1"),IF(A23=1,"",IFERROR(LEFT(OFFSET(B23,-1,0,1,1),FIND("^",SUBSTITUTE(OFFSET(B23,-1,0,1,1),".","^",A23-1))),""))&amp;VALUE(TRIM(MID(SUBSTITUTE(OFFSET(B23,-1,0,1,1),".",REPT(" ",LEN(OFFSET(B23,-1,0,1,1)))),(A23-1)*LEN(OFFSET(B23,-1,0,1,1))+1,LEN(OFFSET(B23,-1,0,1,1)))))+1)))</f>
        <v/>
      </c>
      <c r="C23" s="22">
        <f>"Task Level "&amp;A23&amp;" Description"</f>
        <v/>
      </c>
      <c r="D23" s="22" t="n"/>
      <c r="E23" s="26" t="n"/>
      <c r="F23" s="26" t="n"/>
      <c r="G23" s="22" t="n"/>
      <c r="H23" s="22" t="n"/>
      <c r="I23" s="3" t="n"/>
    </row>
    <row r="24" ht="21" customHeight="1">
      <c r="A24" s="24" t="n">
        <v>2</v>
      </c>
      <c r="B24" s="25">
        <f>IF(A24="","",IF(A24&gt;OFFSET(A24,-1,0,1,1),IF(OFFSET(B24,-1,0,1,1)="","1",OFFSET(B24,-1,0,1,1))&amp;REPT(".1",A24-MAX(OFFSET(A24,-1,0,1,1),1)),IF(ISERROR(FIND(".",OFFSET(B24,-1,0,1,1))),REPT("1.",A24-1)&amp;IFERROR(VALUE(OFFSET(B24,-1,0,1,1))+1,"1"),IF(A24=1,"",IFERROR(LEFT(OFFSET(B24,-1,0,1,1),FIND("^",SUBSTITUTE(OFFSET(B24,-1,0,1,1),".","^",A24-1))),""))&amp;VALUE(TRIM(MID(SUBSTITUTE(OFFSET(B24,-1,0,1,1),".",REPT(" ",LEN(OFFSET(B24,-1,0,1,1)))),(A24-1)*LEN(OFFSET(B24,-1,0,1,1))+1,LEN(OFFSET(B24,-1,0,1,1)))))+1)))</f>
        <v/>
      </c>
      <c r="C24" s="22">
        <f>"Task Level "&amp;A24&amp;" /Feature Description"</f>
        <v/>
      </c>
      <c r="D24" s="22" t="n"/>
      <c r="E24" s="26" t="n"/>
      <c r="F24" s="26" t="n"/>
      <c r="G24" s="22" t="n"/>
      <c r="H24" s="22" t="n"/>
      <c r="I24" s="3" t="n"/>
    </row>
    <row r="25" ht="21" customHeight="1">
      <c r="A25" s="24" t="n"/>
      <c r="B25" s="25">
        <f>IF(A25="","",IF(A25&gt;OFFSET(A25,-1,0,1,1),IF(OFFSET(B25,-1,0,1,1)="","1",OFFSET(B25,-1,0,1,1))&amp;REPT(".1",A25-MAX(OFFSET(A25,-1,0,1,1),1)),IF(ISERROR(FIND(".",OFFSET(B25,-1,0,1,1))),REPT("1.",A25-1)&amp;IFERROR(VALUE(OFFSET(B25,-1,0,1,1))+1,"1"),IF(A25=1,"",IFERROR(LEFT(OFFSET(B25,-1,0,1,1),FIND("^",SUBSTITUTE(OFFSET(B25,-1,0,1,1),".","^",A25-1))),""))&amp;VALUE(TRIM(MID(SUBSTITUTE(OFFSET(B25,-1,0,1,1),".",REPT(" ",LEN(OFFSET(B25,-1,0,1,1)))),(A25-1)*LEN(OFFSET(B25,-1,0,1,1))+1,LEN(OFFSET(B25,-1,0,1,1)))))+1)))</f>
        <v/>
      </c>
      <c r="C25" s="22" t="n"/>
      <c r="D25" s="22" t="n"/>
      <c r="E25" s="26" t="n"/>
      <c r="F25" s="26" t="n"/>
      <c r="G25" s="22" t="n"/>
      <c r="H25" s="22" t="n"/>
      <c r="I25" s="3" t="n"/>
    </row>
    <row r="26" ht="21" customHeight="1">
      <c r="A26" s="24" t="n"/>
      <c r="B26" s="25">
        <f>IF(A26="","",IF(A26&gt;OFFSET(A26,-1,0,1,1),IF(OFFSET(B26,-1,0,1,1)="","1",OFFSET(B26,-1,0,1,1))&amp;REPT(".1",A26-MAX(OFFSET(A26,-1,0,1,1),1)),IF(ISERROR(FIND(".",OFFSET(B26,-1,0,1,1))),REPT("1.",A26-1)&amp;IFERROR(VALUE(OFFSET(B26,-1,0,1,1))+1,"1"),IF(A26=1,"",IFERROR(LEFT(OFFSET(B26,-1,0,1,1),FIND("^",SUBSTITUTE(OFFSET(B26,-1,0,1,1),".","^",A26-1))),""))&amp;VALUE(TRIM(MID(SUBSTITUTE(OFFSET(B26,-1,0,1,1),".",REPT(" ",LEN(OFFSET(B26,-1,0,1,1)))),(A26-1)*LEN(OFFSET(B26,-1,0,1,1))+1,LEN(OFFSET(B26,-1,0,1,1)))))+1)))</f>
        <v/>
      </c>
      <c r="C26" s="22" t="n"/>
      <c r="D26" s="22" t="n"/>
      <c r="E26" s="26" t="n"/>
      <c r="F26" s="26" t="n"/>
      <c r="G26" s="22" t="n"/>
      <c r="H26" s="22" t="n"/>
      <c r="I26" s="3" t="n"/>
    </row>
    <row r="27" ht="21" customHeight="1">
      <c r="A27" s="24" t="n"/>
      <c r="B27" s="25">
        <f>IF(A27="","",IF(A27&gt;OFFSET(A27,-1,0,1,1),IF(OFFSET(B27,-1,0,1,1)="","1",OFFSET(B27,-1,0,1,1))&amp;REPT(".1",A27-MAX(OFFSET(A27,-1,0,1,1),1)),IF(ISERROR(FIND(".",OFFSET(B27,-1,0,1,1))),REPT("1.",A27-1)&amp;IFERROR(VALUE(OFFSET(B27,-1,0,1,1))+1,"1"),IF(A27=1,"",IFERROR(LEFT(OFFSET(B27,-1,0,1,1),FIND("^",SUBSTITUTE(OFFSET(B27,-1,0,1,1),".","^",A27-1))),""))&amp;VALUE(TRIM(MID(SUBSTITUTE(OFFSET(B27,-1,0,1,1),".",REPT(" ",LEN(OFFSET(B27,-1,0,1,1)))),(A27-1)*LEN(OFFSET(B27,-1,0,1,1))+1,LEN(OFFSET(B27,-1,0,1,1)))))+1)))</f>
        <v/>
      </c>
      <c r="C27" s="22" t="n"/>
      <c r="D27" s="22" t="n"/>
      <c r="E27" s="26" t="n"/>
      <c r="F27" s="26" t="n"/>
      <c r="G27" s="22" t="n"/>
      <c r="H27" s="22" t="n"/>
      <c r="I27" s="3" t="n"/>
    </row>
    <row r="28" ht="21" customHeight="1">
      <c r="A28" s="24" t="n"/>
      <c r="B28" s="25">
        <f>IF(A28="","",IF(A28&gt;OFFSET(A28,-1,0,1,1),IF(OFFSET(B28,-1,0,1,1)="","1",OFFSET(B28,-1,0,1,1))&amp;REPT(".1",A28-MAX(OFFSET(A28,-1,0,1,1),1)),IF(ISERROR(FIND(".",OFFSET(B28,-1,0,1,1))),REPT("1.",A28-1)&amp;IFERROR(VALUE(OFFSET(B28,-1,0,1,1))+1,"1"),IF(A28=1,"",IFERROR(LEFT(OFFSET(B28,-1,0,1,1),FIND("^",SUBSTITUTE(OFFSET(B28,-1,0,1,1),".","^",A28-1))),""))&amp;VALUE(TRIM(MID(SUBSTITUTE(OFFSET(B28,-1,0,1,1),".",REPT(" ",LEN(OFFSET(B28,-1,0,1,1)))),(A28-1)*LEN(OFFSET(B28,-1,0,1,1))+1,LEN(OFFSET(B28,-1,0,1,1)))))+1)))</f>
        <v/>
      </c>
      <c r="C28" s="22" t="n"/>
      <c r="D28" s="22" t="n"/>
      <c r="E28" s="26" t="n"/>
      <c r="F28" s="26" t="n"/>
      <c r="G28" s="22" t="n"/>
      <c r="H28" s="22" t="n"/>
      <c r="I28" s="3" t="n"/>
    </row>
    <row r="29" ht="21" customHeight="1">
      <c r="A29" s="24" t="n"/>
      <c r="B29" s="25">
        <f>IF(A29="","",IF(A29&gt;OFFSET(A29,-1,0,1,1),IF(OFFSET(B29,-1,0,1,1)="","1",OFFSET(B29,-1,0,1,1))&amp;REPT(".1",A29-MAX(OFFSET(A29,-1,0,1,1),1)),IF(ISERROR(FIND(".",OFFSET(B29,-1,0,1,1))),REPT("1.",A29-1)&amp;IFERROR(VALUE(OFFSET(B29,-1,0,1,1))+1,"1"),IF(A29=1,"",IFERROR(LEFT(OFFSET(B29,-1,0,1,1),FIND("^",SUBSTITUTE(OFFSET(B29,-1,0,1,1),".","^",A29-1))),""))&amp;VALUE(TRIM(MID(SUBSTITUTE(OFFSET(B29,-1,0,1,1),".",REPT(" ",LEN(OFFSET(B29,-1,0,1,1)))),(A29-1)*LEN(OFFSET(B29,-1,0,1,1))+1,LEN(OFFSET(B29,-1,0,1,1)))))+1)))</f>
        <v/>
      </c>
      <c r="C29" s="22" t="n"/>
      <c r="D29" s="22" t="n"/>
      <c r="E29" s="26" t="n"/>
      <c r="F29" s="26" t="n"/>
      <c r="G29" s="22" t="n"/>
      <c r="H29" s="22" t="n"/>
      <c r="I29" s="3" t="n"/>
    </row>
    <row r="30" ht="21" customHeight="1">
      <c r="A30" s="24" t="n"/>
      <c r="B30" s="25">
        <f>IF(A30="","",IF(A30&gt;OFFSET(A30,-1,0,1,1),IF(OFFSET(B30,-1,0,1,1)="","1",OFFSET(B30,-1,0,1,1))&amp;REPT(".1",A30-MAX(OFFSET(A30,-1,0,1,1),1)),IF(ISERROR(FIND(".",OFFSET(B30,-1,0,1,1))),REPT("1.",A30-1)&amp;IFERROR(VALUE(OFFSET(B30,-1,0,1,1))+1,"1"),IF(A30=1,"",IFERROR(LEFT(OFFSET(B30,-1,0,1,1),FIND("^",SUBSTITUTE(OFFSET(B30,-1,0,1,1),".","^",A30-1))),""))&amp;VALUE(TRIM(MID(SUBSTITUTE(OFFSET(B30,-1,0,1,1),".",REPT(" ",LEN(OFFSET(B30,-1,0,1,1)))),(A30-1)*LEN(OFFSET(B30,-1,0,1,1))+1,LEN(OFFSET(B30,-1,0,1,1)))))+1)))</f>
        <v/>
      </c>
      <c r="C30" s="22" t="n"/>
      <c r="D30" s="22" t="n"/>
      <c r="E30" s="26" t="n"/>
      <c r="F30" s="26" t="n"/>
      <c r="G30" s="22" t="n"/>
      <c r="H30" s="22" t="n"/>
      <c r="I30" s="3" t="n"/>
    </row>
    <row r="31" ht="21" customHeight="1">
      <c r="A31" s="24" t="n"/>
      <c r="B31" s="25">
        <f>IF(A31="","",IF(A31&gt;OFFSET(A31,-1,0,1,1),IF(OFFSET(B31,-1,0,1,1)="","1",OFFSET(B31,-1,0,1,1))&amp;REPT(".1",A31-MAX(OFFSET(A31,-1,0,1,1),1)),IF(ISERROR(FIND(".",OFFSET(B31,-1,0,1,1))),REPT("1.",A31-1)&amp;IFERROR(VALUE(OFFSET(B31,-1,0,1,1))+1,"1"),IF(A31=1,"",IFERROR(LEFT(OFFSET(B31,-1,0,1,1),FIND("^",SUBSTITUTE(OFFSET(B31,-1,0,1,1),".","^",A31-1))),""))&amp;VALUE(TRIM(MID(SUBSTITUTE(OFFSET(B31,-1,0,1,1),".",REPT(" ",LEN(OFFSET(B31,-1,0,1,1)))),(A31-1)*LEN(OFFSET(B31,-1,0,1,1))+1,LEN(OFFSET(B31,-1,0,1,1)))))+1)))</f>
        <v/>
      </c>
      <c r="C31" s="22" t="n"/>
      <c r="D31" s="22" t="n"/>
      <c r="E31" s="26" t="n"/>
      <c r="F31" s="26" t="n"/>
      <c r="G31" s="22" t="n"/>
      <c r="H31" s="22" t="n"/>
      <c r="I31" s="32" t="n"/>
    </row>
    <row r="32" ht="21" customHeight="1">
      <c r="A32" s="24" t="n"/>
      <c r="B32" s="25">
        <f>IF(A32="","",IF(A32&gt;OFFSET(A32,-1,0,1,1),IF(OFFSET(B32,-1,0,1,1)="","1",OFFSET(B32,-1,0,1,1))&amp;REPT(".1",A32-MAX(OFFSET(A32,-1,0,1,1),1)),IF(ISERROR(FIND(".",OFFSET(B32,-1,0,1,1))),REPT("1.",A32-1)&amp;IFERROR(VALUE(OFFSET(B32,-1,0,1,1))+1,"1"),IF(A32=1,"",IFERROR(LEFT(OFFSET(B32,-1,0,1,1),FIND("^",SUBSTITUTE(OFFSET(B32,-1,0,1,1),".","^",A32-1))),""))&amp;VALUE(TRIM(MID(SUBSTITUTE(OFFSET(B32,-1,0,1,1),".",REPT(" ",LEN(OFFSET(B32,-1,0,1,1)))),(A32-1)*LEN(OFFSET(B32,-1,0,1,1))+1,LEN(OFFSET(B32,-1,0,1,1)))))+1)))</f>
        <v/>
      </c>
      <c r="C32" s="22" t="n"/>
      <c r="D32" s="22" t="n"/>
      <c r="E32" s="26" t="n"/>
      <c r="F32" s="26" t="n"/>
      <c r="G32" s="22" t="n"/>
      <c r="H32" s="22" t="n"/>
      <c r="I32" s="32" t="n"/>
    </row>
    <row r="33" ht="21" customHeight="1">
      <c r="A33" s="24" t="n"/>
      <c r="B33" s="25">
        <f>IF(A33="","",IF(A33&gt;OFFSET(A33,-1,0,1,1),IF(OFFSET(B33,-1,0,1,1)="","1",OFFSET(B33,-1,0,1,1))&amp;REPT(".1",A33-MAX(OFFSET(A33,-1,0,1,1),1)),IF(ISERROR(FIND(".",OFFSET(B33,-1,0,1,1))),REPT("1.",A33-1)&amp;IFERROR(VALUE(OFFSET(B33,-1,0,1,1))+1,"1"),IF(A33=1,"",IFERROR(LEFT(OFFSET(B33,-1,0,1,1),FIND("^",SUBSTITUTE(OFFSET(B33,-1,0,1,1),".","^",A33-1))),""))&amp;VALUE(TRIM(MID(SUBSTITUTE(OFFSET(B33,-1,0,1,1),".",REPT(" ",LEN(OFFSET(B33,-1,0,1,1)))),(A33-1)*LEN(OFFSET(B33,-1,0,1,1))+1,LEN(OFFSET(B33,-1,0,1,1)))))+1)))</f>
        <v/>
      </c>
      <c r="C33" s="22" t="n"/>
      <c r="D33" s="22" t="n"/>
      <c r="E33" s="26" t="n"/>
      <c r="F33" s="26" t="n"/>
      <c r="G33" s="22" t="n"/>
      <c r="H33" s="22" t="n"/>
      <c r="I33" s="32" t="n"/>
    </row>
    <row r="34" ht="21" customHeight="1">
      <c r="A34" s="24" t="n"/>
      <c r="B34" s="25">
        <f>IF(A34="","",IF(A34&gt;OFFSET(A34,-1,0,1,1),IF(OFFSET(B34,-1,0,1,1)="","1",OFFSET(B34,-1,0,1,1))&amp;REPT(".1",A34-MAX(OFFSET(A34,-1,0,1,1),1)),IF(ISERROR(FIND(".",OFFSET(B34,-1,0,1,1))),REPT("1.",A34-1)&amp;IFERROR(VALUE(OFFSET(B34,-1,0,1,1))+1,"1"),IF(A34=1,"",IFERROR(LEFT(OFFSET(B34,-1,0,1,1),FIND("^",SUBSTITUTE(OFFSET(B34,-1,0,1,1),".","^",A34-1))),""))&amp;VALUE(TRIM(MID(SUBSTITUTE(OFFSET(B34,-1,0,1,1),".",REPT(" ",LEN(OFFSET(B34,-1,0,1,1)))),(A34-1)*LEN(OFFSET(B34,-1,0,1,1))+1,LEN(OFFSET(B34,-1,0,1,1)))))+1)))</f>
        <v/>
      </c>
      <c r="C34" s="22" t="n"/>
      <c r="D34" s="22" t="n"/>
      <c r="E34" s="26" t="n"/>
      <c r="F34" s="26" t="n"/>
      <c r="G34" s="22" t="n"/>
      <c r="H34" s="22" t="n"/>
      <c r="I34" s="32" t="n"/>
    </row>
    <row r="35" ht="21" customHeight="1">
      <c r="A35" s="24" t="n"/>
      <c r="B35" s="25">
        <f>IF(A35="","",IF(A35&gt;OFFSET(A35,-1,0,1,1),IF(OFFSET(B35,-1,0,1,1)="","1",OFFSET(B35,-1,0,1,1))&amp;REPT(".1",A35-MAX(OFFSET(A35,-1,0,1,1),1)),IF(ISERROR(FIND(".",OFFSET(B35,-1,0,1,1))),REPT("1.",A35-1)&amp;IFERROR(VALUE(OFFSET(B35,-1,0,1,1))+1,"1"),IF(A35=1,"",IFERROR(LEFT(OFFSET(B35,-1,0,1,1),FIND("^",SUBSTITUTE(OFFSET(B35,-1,0,1,1),".","^",A35-1))),""))&amp;VALUE(TRIM(MID(SUBSTITUTE(OFFSET(B35,-1,0,1,1),".",REPT(" ",LEN(OFFSET(B35,-1,0,1,1)))),(A35-1)*LEN(OFFSET(B35,-1,0,1,1))+1,LEN(OFFSET(B35,-1,0,1,1)))))+1)))</f>
        <v/>
      </c>
      <c r="C35" s="22" t="n"/>
      <c r="D35" s="22" t="n"/>
      <c r="E35" s="26" t="n"/>
      <c r="F35" s="26" t="n"/>
      <c r="G35" s="22" t="n"/>
      <c r="H35" s="22" t="n"/>
      <c r="I35" s="32" t="n"/>
    </row>
    <row r="36" ht="21" customHeight="1">
      <c r="A36" s="24" t="n"/>
      <c r="B36" s="25">
        <f>IF(A36="","",IF(A36&gt;OFFSET(A36,-1,0,1,1),IF(OFFSET(B36,-1,0,1,1)="","1",OFFSET(B36,-1,0,1,1))&amp;REPT(".1",A36-MAX(OFFSET(A36,-1,0,1,1),1)),IF(ISERROR(FIND(".",OFFSET(B36,-1,0,1,1))),REPT("1.",A36-1)&amp;IFERROR(VALUE(OFFSET(B36,-1,0,1,1))+1,"1"),IF(A36=1,"",IFERROR(LEFT(OFFSET(B36,-1,0,1,1),FIND("^",SUBSTITUTE(OFFSET(B36,-1,0,1,1),".","^",A36-1))),""))&amp;VALUE(TRIM(MID(SUBSTITUTE(OFFSET(B36,-1,0,1,1),".",REPT(" ",LEN(OFFSET(B36,-1,0,1,1)))),(A36-1)*LEN(OFFSET(B36,-1,0,1,1))+1,LEN(OFFSET(B36,-1,0,1,1)))))+1)))</f>
        <v/>
      </c>
      <c r="C36" s="22" t="n"/>
      <c r="D36" s="22" t="n"/>
      <c r="E36" s="26" t="n"/>
      <c r="F36" s="26" t="n"/>
      <c r="G36" s="22" t="n"/>
      <c r="H36" s="22" t="n"/>
      <c r="I36" s="32" t="n"/>
    </row>
    <row r="37" ht="21" customHeight="1">
      <c r="A37" s="24" t="n"/>
      <c r="B37" s="25">
        <f>IF(A37="","",IF(A37&gt;OFFSET(A37,-1,0,1,1),IF(OFFSET(B37,-1,0,1,1)="","1",OFFSET(B37,-1,0,1,1))&amp;REPT(".1",A37-MAX(OFFSET(A37,-1,0,1,1),1)),IF(ISERROR(FIND(".",OFFSET(B37,-1,0,1,1))),REPT("1.",A37-1)&amp;IFERROR(VALUE(OFFSET(B37,-1,0,1,1))+1,"1"),IF(A37=1,"",IFERROR(LEFT(OFFSET(B37,-1,0,1,1),FIND("^",SUBSTITUTE(OFFSET(B37,-1,0,1,1),".","^",A37-1))),""))&amp;VALUE(TRIM(MID(SUBSTITUTE(OFFSET(B37,-1,0,1,1),".",REPT(" ",LEN(OFFSET(B37,-1,0,1,1)))),(A37-1)*LEN(OFFSET(B37,-1,0,1,1))+1,LEN(OFFSET(B37,-1,0,1,1)))))+1)))</f>
        <v/>
      </c>
      <c r="C37" s="22" t="n"/>
      <c r="D37" s="22" t="n"/>
      <c r="E37" s="26" t="n"/>
      <c r="F37" s="26" t="n"/>
      <c r="G37" s="22" t="n"/>
      <c r="H37" s="22" t="n"/>
      <c r="I37" s="32" t="n"/>
    </row>
    <row r="38" ht="21" customHeight="1">
      <c r="A38" s="24" t="n"/>
      <c r="B38" s="25">
        <f>IF(A38="","",IF(A38&gt;OFFSET(A38,-1,0,1,1),IF(OFFSET(B38,-1,0,1,1)="","1",OFFSET(B38,-1,0,1,1))&amp;REPT(".1",A38-MAX(OFFSET(A38,-1,0,1,1),1)),IF(ISERROR(FIND(".",OFFSET(B38,-1,0,1,1))),REPT("1.",A38-1)&amp;IFERROR(VALUE(OFFSET(B38,-1,0,1,1))+1,"1"),IF(A38=1,"",IFERROR(LEFT(OFFSET(B38,-1,0,1,1),FIND("^",SUBSTITUTE(OFFSET(B38,-1,0,1,1),".","^",A38-1))),""))&amp;VALUE(TRIM(MID(SUBSTITUTE(OFFSET(B38,-1,0,1,1),".",REPT(" ",LEN(OFFSET(B38,-1,0,1,1)))),(A38-1)*LEN(OFFSET(B38,-1,0,1,1))+1,LEN(OFFSET(B38,-1,0,1,1)))))+1)))</f>
        <v/>
      </c>
      <c r="C38" s="22" t="n"/>
      <c r="D38" s="22" t="n"/>
      <c r="E38" s="26" t="n"/>
      <c r="F38" s="26" t="n"/>
      <c r="G38" s="22" t="n"/>
      <c r="H38" s="22" t="n"/>
      <c r="I38" s="32" t="n"/>
    </row>
    <row r="39" ht="21" customHeight="1">
      <c r="A39" s="24" t="n"/>
      <c r="B39" s="25">
        <f>IF(A39="","",IF(A39&gt;OFFSET(A39,-1,0,1,1),IF(OFFSET(B39,-1,0,1,1)="","1",OFFSET(B39,-1,0,1,1))&amp;REPT(".1",A39-MAX(OFFSET(A39,-1,0,1,1),1)),IF(ISERROR(FIND(".",OFFSET(B39,-1,0,1,1))),REPT("1.",A39-1)&amp;IFERROR(VALUE(OFFSET(B39,-1,0,1,1))+1,"1"),IF(A39=1,"",IFERROR(LEFT(OFFSET(B39,-1,0,1,1),FIND("^",SUBSTITUTE(OFFSET(B39,-1,0,1,1),".","^",A39-1))),""))&amp;VALUE(TRIM(MID(SUBSTITUTE(OFFSET(B39,-1,0,1,1),".",REPT(" ",LEN(OFFSET(B39,-1,0,1,1)))),(A39-1)*LEN(OFFSET(B39,-1,0,1,1))+1,LEN(OFFSET(B39,-1,0,1,1)))))+1)))</f>
        <v/>
      </c>
      <c r="C39" s="22" t="n"/>
      <c r="D39" s="22" t="n"/>
      <c r="E39" s="26" t="n"/>
      <c r="F39" s="26" t="n"/>
      <c r="G39" s="22" t="n"/>
      <c r="H39" s="22" t="n"/>
      <c r="I39" s="32" t="n"/>
    </row>
    <row r="40" ht="21" customHeight="1">
      <c r="A40" s="24" t="n"/>
      <c r="B40" s="25">
        <f>IF(A40="","",IF(A40&gt;OFFSET(A40,-1,0,1,1),IF(OFFSET(B40,-1,0,1,1)="","1",OFFSET(B40,-1,0,1,1))&amp;REPT(".1",A40-MAX(OFFSET(A40,-1,0,1,1),1)),IF(ISERROR(FIND(".",OFFSET(B40,-1,0,1,1))),REPT("1.",A40-1)&amp;IFERROR(VALUE(OFFSET(B40,-1,0,1,1))+1,"1"),IF(A40=1,"",IFERROR(LEFT(OFFSET(B40,-1,0,1,1),FIND("^",SUBSTITUTE(OFFSET(B40,-1,0,1,1),".","^",A40-1))),""))&amp;VALUE(TRIM(MID(SUBSTITUTE(OFFSET(B40,-1,0,1,1),".",REPT(" ",LEN(OFFSET(B40,-1,0,1,1)))),(A40-1)*LEN(OFFSET(B40,-1,0,1,1))+1,LEN(OFFSET(B40,-1,0,1,1)))))+1)))</f>
        <v/>
      </c>
      <c r="C40" s="22" t="n"/>
      <c r="D40" s="22" t="n"/>
      <c r="E40" s="26" t="n"/>
      <c r="F40" s="26" t="n"/>
      <c r="G40" s="22" t="n"/>
      <c r="H40" s="22" t="n"/>
      <c r="I40" s="32" t="n"/>
    </row>
    <row r="41" ht="21" customHeight="1">
      <c r="A41" s="24" t="n"/>
      <c r="B41" s="25">
        <f>IF(A41="","",IF(A41&gt;OFFSET(A41,-1,0,1,1),IF(OFFSET(B41,-1,0,1,1)="","1",OFFSET(B41,-1,0,1,1))&amp;REPT(".1",A41-MAX(OFFSET(A41,-1,0,1,1),1)),IF(ISERROR(FIND(".",OFFSET(B41,-1,0,1,1))),REPT("1.",A41-1)&amp;IFERROR(VALUE(OFFSET(B41,-1,0,1,1))+1,"1"),IF(A41=1,"",IFERROR(LEFT(OFFSET(B41,-1,0,1,1),FIND("^",SUBSTITUTE(OFFSET(B41,-1,0,1,1),".","^",A41-1))),""))&amp;VALUE(TRIM(MID(SUBSTITUTE(OFFSET(B41,-1,0,1,1),".",REPT(" ",LEN(OFFSET(B41,-1,0,1,1)))),(A41-1)*LEN(OFFSET(B41,-1,0,1,1))+1,LEN(OFFSET(B41,-1,0,1,1)))))+1)))</f>
        <v/>
      </c>
      <c r="C41" s="22" t="n"/>
      <c r="D41" s="22" t="n"/>
      <c r="E41" s="26" t="n"/>
      <c r="F41" s="26" t="n"/>
      <c r="G41" s="22" t="n"/>
      <c r="H41" s="22" t="n"/>
      <c r="I41" s="32" t="n"/>
    </row>
    <row r="42" ht="21" customHeight="1">
      <c r="A42" s="24" t="n"/>
      <c r="B42" s="25">
        <f>IF(A42="","",IF(A42&gt;OFFSET(A42,-1,0,1,1),IF(OFFSET(B42,-1,0,1,1)="","1",OFFSET(B42,-1,0,1,1))&amp;REPT(".1",A42-MAX(OFFSET(A42,-1,0,1,1),1)),IF(ISERROR(FIND(".",OFFSET(B42,-1,0,1,1))),REPT("1.",A42-1)&amp;IFERROR(VALUE(OFFSET(B42,-1,0,1,1))+1,"1"),IF(A42=1,"",IFERROR(LEFT(OFFSET(B42,-1,0,1,1),FIND("^",SUBSTITUTE(OFFSET(B42,-1,0,1,1),".","^",A42-1))),""))&amp;VALUE(TRIM(MID(SUBSTITUTE(OFFSET(B42,-1,0,1,1),".",REPT(" ",LEN(OFFSET(B42,-1,0,1,1)))),(A42-1)*LEN(OFFSET(B42,-1,0,1,1))+1,LEN(OFFSET(B42,-1,0,1,1)))))+1)))</f>
        <v/>
      </c>
      <c r="C42" s="22" t="n"/>
      <c r="D42" s="22" t="n"/>
      <c r="E42" s="26" t="n"/>
      <c r="F42" s="26" t="n"/>
      <c r="G42" s="22" t="n"/>
      <c r="H42" s="22" t="n"/>
      <c r="I42" s="32" t="n"/>
    </row>
    <row r="43" ht="21" customHeight="1">
      <c r="A43" s="24" t="n"/>
      <c r="B43" s="25">
        <f>IF(A43="","",IF(A43&gt;OFFSET(A43,-1,0,1,1),IF(OFFSET(B43,-1,0,1,1)="","1",OFFSET(B43,-1,0,1,1))&amp;REPT(".1",A43-MAX(OFFSET(A43,-1,0,1,1),1)),IF(ISERROR(FIND(".",OFFSET(B43,-1,0,1,1))),REPT("1.",A43-1)&amp;IFERROR(VALUE(OFFSET(B43,-1,0,1,1))+1,"1"),IF(A43=1,"",IFERROR(LEFT(OFFSET(B43,-1,0,1,1),FIND("^",SUBSTITUTE(OFFSET(B43,-1,0,1,1),".","^",A43-1))),""))&amp;VALUE(TRIM(MID(SUBSTITUTE(OFFSET(B43,-1,0,1,1),".",REPT(" ",LEN(OFFSET(B43,-1,0,1,1)))),(A43-1)*LEN(OFFSET(B43,-1,0,1,1))+1,LEN(OFFSET(B43,-1,0,1,1)))))+1)))</f>
        <v/>
      </c>
      <c r="C43" s="22" t="n"/>
      <c r="D43" s="22" t="n"/>
      <c r="E43" s="26" t="n"/>
      <c r="F43" s="26" t="n"/>
      <c r="G43" s="22" t="n"/>
      <c r="H43" s="22" t="n"/>
      <c r="I43" s="32" t="n"/>
    </row>
    <row r="44" ht="21" customHeight="1">
      <c r="A44" s="24" t="n"/>
      <c r="B44" s="25">
        <f>IF(A44="","",IF(A44&gt;OFFSET(A44,-1,0,1,1),IF(OFFSET(B44,-1,0,1,1)="","1",OFFSET(B44,-1,0,1,1))&amp;REPT(".1",A44-MAX(OFFSET(A44,-1,0,1,1),1)),IF(ISERROR(FIND(".",OFFSET(B44,-1,0,1,1))),REPT("1.",A44-1)&amp;IFERROR(VALUE(OFFSET(B44,-1,0,1,1))+1,"1"),IF(A44=1,"",IFERROR(LEFT(OFFSET(B44,-1,0,1,1),FIND("^",SUBSTITUTE(OFFSET(B44,-1,0,1,1),".","^",A44-1))),""))&amp;VALUE(TRIM(MID(SUBSTITUTE(OFFSET(B44,-1,0,1,1),".",REPT(" ",LEN(OFFSET(B44,-1,0,1,1)))),(A44-1)*LEN(OFFSET(B44,-1,0,1,1))+1,LEN(OFFSET(B44,-1,0,1,1)))))+1)))</f>
        <v/>
      </c>
      <c r="C44" s="22" t="n"/>
      <c r="D44" s="22" t="n"/>
      <c r="E44" s="26" t="n"/>
      <c r="F44" s="26" t="n"/>
      <c r="G44" s="22" t="n"/>
      <c r="H44" s="22" t="n"/>
      <c r="I44" s="32" t="n"/>
    </row>
    <row r="45" ht="21" customHeight="1">
      <c r="A45" s="24" t="n"/>
      <c r="B45" s="25">
        <f>IF(A45="","",IF(A45&gt;OFFSET(A45,-1,0,1,1),IF(OFFSET(B45,-1,0,1,1)="","1",OFFSET(B45,-1,0,1,1))&amp;REPT(".1",A45-MAX(OFFSET(A45,-1,0,1,1),1)),IF(ISERROR(FIND(".",OFFSET(B45,-1,0,1,1))),REPT("1.",A45-1)&amp;IFERROR(VALUE(OFFSET(B45,-1,0,1,1))+1,"1"),IF(A45=1,"",IFERROR(LEFT(OFFSET(B45,-1,0,1,1),FIND("^",SUBSTITUTE(OFFSET(B45,-1,0,1,1),".","^",A45-1))),""))&amp;VALUE(TRIM(MID(SUBSTITUTE(OFFSET(B45,-1,0,1,1),".",REPT(" ",LEN(OFFSET(B45,-1,0,1,1)))),(A45-1)*LEN(OFFSET(B45,-1,0,1,1))+1,LEN(OFFSET(B45,-1,0,1,1)))))+1)))</f>
        <v/>
      </c>
      <c r="C45" s="22" t="n"/>
      <c r="D45" s="22" t="n"/>
      <c r="E45" s="26" t="n"/>
      <c r="F45" s="26" t="n"/>
      <c r="G45" s="22" t="n"/>
      <c r="H45" s="22" t="n"/>
      <c r="I45" s="32" t="n"/>
    </row>
    <row r="46" ht="21" customHeight="1">
      <c r="A46" s="24" t="n"/>
      <c r="B46" s="25">
        <f>IF(A46="","",IF(A46&gt;OFFSET(A46,-1,0,1,1),IF(OFFSET(B46,-1,0,1,1)="","1",OFFSET(B46,-1,0,1,1))&amp;REPT(".1",A46-MAX(OFFSET(A46,-1,0,1,1),1)),IF(ISERROR(FIND(".",OFFSET(B46,-1,0,1,1))),REPT("1.",A46-1)&amp;IFERROR(VALUE(OFFSET(B46,-1,0,1,1))+1,"1"),IF(A46=1,"",IFERROR(LEFT(OFFSET(B46,-1,0,1,1),FIND("^",SUBSTITUTE(OFFSET(B46,-1,0,1,1),".","^",A46-1))),""))&amp;VALUE(TRIM(MID(SUBSTITUTE(OFFSET(B46,-1,0,1,1),".",REPT(" ",LEN(OFFSET(B46,-1,0,1,1)))),(A46-1)*LEN(OFFSET(B46,-1,0,1,1))+1,LEN(OFFSET(B46,-1,0,1,1)))))+1)))</f>
        <v/>
      </c>
      <c r="C46" s="22" t="n"/>
      <c r="D46" s="22" t="n"/>
      <c r="E46" s="26" t="n"/>
      <c r="F46" s="26" t="n"/>
      <c r="G46" s="22" t="n"/>
      <c r="H46" s="22" t="n"/>
      <c r="I46" s="32" t="n"/>
    </row>
    <row r="47" ht="21" customHeight="1">
      <c r="A47" s="24" t="n"/>
      <c r="B47" s="25">
        <f>IF(A47="","",IF(A47&gt;OFFSET(A47,-1,0,1,1),IF(OFFSET(B47,-1,0,1,1)="","1",OFFSET(B47,-1,0,1,1))&amp;REPT(".1",A47-MAX(OFFSET(A47,-1,0,1,1),1)),IF(ISERROR(FIND(".",OFFSET(B47,-1,0,1,1))),REPT("1.",A47-1)&amp;IFERROR(VALUE(OFFSET(B47,-1,0,1,1))+1,"1"),IF(A47=1,"",IFERROR(LEFT(OFFSET(B47,-1,0,1,1),FIND("^",SUBSTITUTE(OFFSET(B47,-1,0,1,1),".","^",A47-1))),""))&amp;VALUE(TRIM(MID(SUBSTITUTE(OFFSET(B47,-1,0,1,1),".",REPT(" ",LEN(OFFSET(B47,-1,0,1,1)))),(A47-1)*LEN(OFFSET(B47,-1,0,1,1))+1,LEN(OFFSET(B47,-1,0,1,1)))))+1)))</f>
        <v/>
      </c>
      <c r="C47" s="22" t="n"/>
      <c r="D47" s="22" t="n"/>
      <c r="E47" s="26" t="n"/>
      <c r="F47" s="26" t="n"/>
      <c r="G47" s="22" t="n"/>
      <c r="H47" s="22" t="n"/>
      <c r="I47" s="32" t="n"/>
    </row>
    <row r="48" ht="21" customHeight="1">
      <c r="A48" s="24" t="n"/>
      <c r="B48" s="25">
        <f>IF(A48="","",IF(A48&gt;OFFSET(A48,-1,0,1,1),IF(OFFSET(B48,-1,0,1,1)="","1",OFFSET(B48,-1,0,1,1))&amp;REPT(".1",A48-MAX(OFFSET(A48,-1,0,1,1),1)),IF(ISERROR(FIND(".",OFFSET(B48,-1,0,1,1))),REPT("1.",A48-1)&amp;IFERROR(VALUE(OFFSET(B48,-1,0,1,1))+1,"1"),IF(A48=1,"",IFERROR(LEFT(OFFSET(B48,-1,0,1,1),FIND("^",SUBSTITUTE(OFFSET(B48,-1,0,1,1),".","^",A48-1))),""))&amp;VALUE(TRIM(MID(SUBSTITUTE(OFFSET(B48,-1,0,1,1),".",REPT(" ",LEN(OFFSET(B48,-1,0,1,1)))),(A48-1)*LEN(OFFSET(B48,-1,0,1,1))+1,LEN(OFFSET(B48,-1,0,1,1)))))+1)))</f>
        <v/>
      </c>
      <c r="C48" s="22" t="n"/>
      <c r="D48" s="22" t="n"/>
      <c r="E48" s="26" t="n"/>
      <c r="F48" s="26" t="n"/>
      <c r="G48" s="22" t="n"/>
      <c r="H48" s="22" t="n"/>
      <c r="I48" s="32" t="n"/>
    </row>
    <row r="49" ht="21" customHeight="1">
      <c r="A49" s="24" t="n"/>
      <c r="B49" s="25">
        <f>IF(A49="","",IF(A49&gt;OFFSET(A49,-1,0,1,1),IF(OFFSET(B49,-1,0,1,1)="","1",OFFSET(B49,-1,0,1,1))&amp;REPT(".1",A49-MAX(OFFSET(A49,-1,0,1,1),1)),IF(ISERROR(FIND(".",OFFSET(B49,-1,0,1,1))),REPT("1.",A49-1)&amp;IFERROR(VALUE(OFFSET(B49,-1,0,1,1))+1,"1"),IF(A49=1,"",IFERROR(LEFT(OFFSET(B49,-1,0,1,1),FIND("^",SUBSTITUTE(OFFSET(B49,-1,0,1,1),".","^",A49-1))),""))&amp;VALUE(TRIM(MID(SUBSTITUTE(OFFSET(B49,-1,0,1,1),".",REPT(" ",LEN(OFFSET(B49,-1,0,1,1)))),(A49-1)*LEN(OFFSET(B49,-1,0,1,1))+1,LEN(OFFSET(B49,-1,0,1,1)))))+1)))</f>
        <v/>
      </c>
      <c r="C49" s="22" t="n"/>
      <c r="D49" s="22" t="n"/>
      <c r="E49" s="26" t="n"/>
      <c r="F49" s="26" t="n"/>
      <c r="G49" s="22" t="n"/>
      <c r="H49" s="22" t="n"/>
      <c r="I49" s="32" t="n"/>
    </row>
    <row r="50" ht="21" customHeight="1">
      <c r="A50" s="24" t="n"/>
      <c r="B50" s="25">
        <f>IF(A50="","",IF(A50&gt;OFFSET(A50,-1,0,1,1),IF(OFFSET(B50,-1,0,1,1)="","1",OFFSET(B50,-1,0,1,1))&amp;REPT(".1",A50-MAX(OFFSET(A50,-1,0,1,1),1)),IF(ISERROR(FIND(".",OFFSET(B50,-1,0,1,1))),REPT("1.",A50-1)&amp;IFERROR(VALUE(OFFSET(B50,-1,0,1,1))+1,"1"),IF(A50=1,"",IFERROR(LEFT(OFFSET(B50,-1,0,1,1),FIND("^",SUBSTITUTE(OFFSET(B50,-1,0,1,1),".","^",A50-1))),""))&amp;VALUE(TRIM(MID(SUBSTITUTE(OFFSET(B50,-1,0,1,1),".",REPT(" ",LEN(OFFSET(B50,-1,0,1,1)))),(A50-1)*LEN(OFFSET(B50,-1,0,1,1))+1,LEN(OFFSET(B50,-1,0,1,1)))))+1)))</f>
        <v/>
      </c>
      <c r="C50" s="22" t="n"/>
      <c r="D50" s="22" t="n"/>
      <c r="E50" s="26" t="n"/>
      <c r="F50" s="26" t="n"/>
      <c r="G50" s="22" t="n"/>
      <c r="H50" s="22" t="n"/>
      <c r="I50" s="32" t="n"/>
    </row>
    <row r="51" ht="21" customHeight="1">
      <c r="A51" s="24" t="n"/>
      <c r="B51" s="25">
        <f>IF(A51="","",IF(A51&gt;OFFSET(A51,-1,0,1,1),IF(OFFSET(B51,-1,0,1,1)="","1",OFFSET(B51,-1,0,1,1))&amp;REPT(".1",A51-MAX(OFFSET(A51,-1,0,1,1),1)),IF(ISERROR(FIND(".",OFFSET(B51,-1,0,1,1))),REPT("1.",A51-1)&amp;IFERROR(VALUE(OFFSET(B51,-1,0,1,1))+1,"1"),IF(A51=1,"",IFERROR(LEFT(OFFSET(B51,-1,0,1,1),FIND("^",SUBSTITUTE(OFFSET(B51,-1,0,1,1),".","^",A51-1))),""))&amp;VALUE(TRIM(MID(SUBSTITUTE(OFFSET(B51,-1,0,1,1),".",REPT(" ",LEN(OFFSET(B51,-1,0,1,1)))),(A51-1)*LEN(OFFSET(B51,-1,0,1,1))+1,LEN(OFFSET(B51,-1,0,1,1)))))+1)))</f>
        <v/>
      </c>
      <c r="C51" s="22" t="n"/>
      <c r="D51" s="22" t="n"/>
      <c r="E51" s="26" t="n"/>
      <c r="F51" s="26" t="n"/>
      <c r="G51" s="22" t="n"/>
      <c r="H51" s="22" t="n"/>
      <c r="I51" s="32" t="n"/>
    </row>
  </sheetData>
  <mergeCells count="1">
    <mergeCell ref="A3:B3"/>
  </mergeCells>
  <conditionalFormatting sqref="A6:F51">
    <cfRule type="expression" priority="1" dxfId="2">
      <formula>($A6=1)</formula>
    </cfRule>
  </conditionalFormatting>
  <conditionalFormatting sqref="E5">
    <cfRule type="containsText" priority="3" operator="containsText" dxfId="1" text="Vertex42.com">
      <formula>NOT(ISERROR(SEARCH(("Vertex42.com"),(E5))))</formula>
    </cfRule>
  </conditionalFormatting>
  <conditionalFormatting sqref="G6:H51">
    <cfRule type="expression" priority="2" dxfId="0">
      <formula>($A6=1)</formula>
    </cfRule>
  </conditionalFormatting>
  <dataValidations count="1">
    <dataValidation sqref="A6:A51" showDropDown="0" showInputMessage="0" showErrorMessage="0" allowBlank="1" type="list">
      <formula1>"1,2,3,4,5,6"</formula1>
    </dataValidation>
  </dataValidations>
  <printOptions horizontalCentered="1" gridLines="1"/>
  <pageMargins left="0.7" right="0.7" top="0.75" bottom="0.75" header="0" footer="0"/>
  <pageSetup orientation="portrait" fitToHeight="0" pageOrder="overThenDown" cellComments="atEnd"/>
  <headerFooter>
    <oddHeader/>
    <oddFooter>&amp;Lhttps://www.vertex42.com/ExcelTemplates/work-breakdown-structure.html&amp;RWBS Template © 2019 by Vertex42.com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4" customWidth="1" min="4" max="4"/>
    <col width="13" customWidth="1" min="5" max="5"/>
    <col width="12" customWidth="1" min="6" max="6"/>
    <col width="48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23" customWidth="1" min="16" max="16"/>
    <col width="10" customWidth="1" min="17" max="17"/>
  </cols>
  <sheetData>
    <row r="1">
      <c r="A1" s="50" t="inlineStr">
        <is>
          <t>Pet Service Management - Work Breakdown Structure</t>
        </is>
      </c>
    </row>
    <row r="2">
      <c r="A2" t="inlineStr">
        <is>
          <t>Project Start</t>
        </is>
      </c>
      <c r="B2" s="34" t="n">
        <v>46113</v>
      </c>
      <c r="C2" t="inlineStr">
        <is>
          <t>Code Freeze</t>
        </is>
      </c>
      <c r="D2" s="34" t="n">
        <v>46180</v>
      </c>
      <c r="E2" t="inlineStr">
        <is>
          <t>Project End</t>
        </is>
      </c>
      <c r="F2" s="34" t="n">
        <v>46187</v>
      </c>
    </row>
    <row r="3"/>
    <row r="4">
      <c r="A4" s="58" t="inlineStr">
        <is>
          <t>Level</t>
        </is>
      </c>
      <c r="B4" s="58" t="inlineStr">
        <is>
          <t>WBS</t>
        </is>
      </c>
      <c r="C4" s="58" t="inlineStr">
        <is>
          <t>Task Description</t>
        </is>
      </c>
      <c r="D4" s="58" t="inlineStr">
        <is>
          <t>Assigned To</t>
        </is>
      </c>
      <c r="E4" s="58" t="inlineStr">
        <is>
          <t>Start</t>
        </is>
      </c>
      <c r="F4" s="58" t="inlineStr">
        <is>
          <t>End</t>
        </is>
      </c>
      <c r="G4" s="58" t="inlineStr">
        <is>
          <t>Notes</t>
        </is>
      </c>
      <c r="H4" s="58" t="inlineStr">
        <is>
          <t>Story Points</t>
        </is>
      </c>
    </row>
    <row r="5">
      <c r="A5" s="59" t="n">
        <v>1</v>
      </c>
      <c r="B5" s="59" t="inlineStr">
        <is>
          <t>0</t>
        </is>
      </c>
      <c r="C5" s="59" t="inlineStr">
        <is>
          <t>Sprint 0 - Khởi động và kiến trúc nền</t>
        </is>
      </c>
      <c r="D5" s="51" t="inlineStr">
        <is>
          <t>Trường Giang</t>
        </is>
      </c>
      <c r="E5" s="60" t="n">
        <v>46113</v>
      </c>
      <c r="F5" s="60" t="n">
        <v>46119</v>
      </c>
      <c r="G5" s="59" t="inlineStr">
        <is>
          <t>Kickoff, phạm vi, ERD, Prisma schema, seed nền.</t>
        </is>
      </c>
      <c r="H5" s="59" t="inlineStr">
        <is>
          <t>22 SP</t>
        </is>
      </c>
    </row>
    <row r="6">
      <c r="A6" s="55" t="n">
        <v>2</v>
      </c>
      <c r="B6" s="55" t="inlineStr">
        <is>
          <t>0.1</t>
        </is>
      </c>
      <c r="C6" s="55" t="inlineStr">
        <is>
          <t>Kickoff, scope và API contract chung</t>
        </is>
      </c>
      <c r="D6" s="51" t="inlineStr">
        <is>
          <t>Trường Giang</t>
        </is>
      </c>
      <c r="E6" s="61" t="n">
        <v>46113</v>
      </c>
      <c r="F6" s="61" t="n">
        <v>46115</v>
      </c>
      <c r="G6" s="55" t="inlineStr">
        <is>
          <t>Thống nhất luồng Customer - Staff - Doctor - Admin.</t>
        </is>
      </c>
      <c r="H6" s="55" t="inlineStr">
        <is>
          <t>5 SP</t>
        </is>
      </c>
    </row>
    <row r="7">
      <c r="A7" s="55" t="n">
        <v>2</v>
      </c>
      <c r="B7" s="55" t="inlineStr">
        <is>
          <t>0.2</t>
        </is>
      </c>
      <c r="C7" s="55" t="inlineStr">
        <is>
          <t>Database schema, migration, enum và seed data</t>
        </is>
      </c>
      <c r="D7" s="51" t="inlineStr">
        <is>
          <t>Trường Giang</t>
        </is>
      </c>
      <c r="E7" s="61" t="n">
        <v>46115</v>
      </c>
      <c r="F7" s="61" t="n">
        <v>46119</v>
      </c>
      <c r="G7" s="55" t="inlineStr">
        <is>
          <t>Bao gồm appointment, slot, invoice, specialist service result.</t>
        </is>
      </c>
      <c r="H7" s="55" t="inlineStr">
        <is>
          <t>17 SP</t>
        </is>
      </c>
    </row>
    <row r="8">
      <c r="A8" s="59" t="n">
        <v>1</v>
      </c>
      <c r="B8" s="59" t="inlineStr">
        <is>
          <t>1</t>
        </is>
      </c>
      <c r="C8" s="59" t="inlineStr">
        <is>
          <t>Sprint 1 - Tài khoản và portal nền</t>
        </is>
      </c>
      <c r="D8" s="51" t="inlineStr">
        <is>
          <t>Trường Giang</t>
        </is>
      </c>
      <c r="E8" s="60" t="n">
        <v>46120</v>
      </c>
      <c r="F8" s="60" t="n">
        <v>46133</v>
      </c>
      <c r="G8" s="59" t="inlineStr">
        <is>
          <t>Xác thực, phân quyền, portal shell và dữ liệu vai trò.</t>
        </is>
      </c>
      <c r="H8" s="59" t="inlineStr">
        <is>
          <t>109 SP</t>
        </is>
      </c>
    </row>
    <row r="9">
      <c r="A9" s="55" t="n">
        <v>2</v>
      </c>
      <c r="B9" s="55" t="inlineStr">
        <is>
          <t>1.1</t>
        </is>
      </c>
      <c r="C9" s="55" t="inlineStr">
        <is>
          <t>Auth, RBAC, notification nền và khóa tài khoản</t>
        </is>
      </c>
      <c r="D9" s="51" t="inlineStr">
        <is>
          <t>Trường Giang</t>
        </is>
      </c>
      <c r="E9" s="61" t="n">
        <v>46120</v>
      </c>
      <c r="F9" s="61" t="n">
        <v>46126</v>
      </c>
      <c r="G9" s="55" t="inlineStr">
        <is>
          <t>CUS-01, DOC-01, STF-01, ADM-01, DOC-08 nền.</t>
        </is>
      </c>
      <c r="H9" s="55" t="inlineStr">
        <is>
          <t>21 SP</t>
        </is>
      </c>
    </row>
    <row r="10">
      <c r="A10" s="55" t="n">
        <v>2</v>
      </c>
      <c r="B10" s="55" t="inlineStr">
        <is>
          <t>1.2</t>
        </is>
      </c>
      <c r="C10" s="55" t="inlineStr">
        <is>
          <t>Admin quản lý tài khoản và nhân sự</t>
        </is>
      </c>
      <c r="D10" s="51" t="inlineStr">
        <is>
          <t>Trường Giang</t>
        </is>
      </c>
      <c r="E10" s="61" t="n">
        <v>46124</v>
      </c>
      <c r="F10" s="61" t="n">
        <v>46133</v>
      </c>
      <c r="G10" s="55" t="inlineStr">
        <is>
          <t>ADM-03, ADM-04 theo phân công file chia việc.</t>
        </is>
      </c>
      <c r="H10" s="55" t="inlineStr">
        <is>
          <t>21 SP</t>
        </is>
      </c>
    </row>
    <row r="11">
      <c r="A11" s="55" t="n">
        <v>2</v>
      </c>
      <c r="B11" s="55" t="inlineStr">
        <is>
          <t>1.3</t>
        </is>
      </c>
      <c r="C11" s="55" t="inlineStr">
        <is>
          <t>Customer dashboard, hồ sơ và thú cưng</t>
        </is>
      </c>
      <c r="D11" s="54" t="inlineStr">
        <is>
          <t>Nam Anh</t>
        </is>
      </c>
      <c r="E11" s="61" t="n">
        <v>46120</v>
      </c>
      <c r="F11" s="61" t="n">
        <v>46129</v>
      </c>
      <c r="G11" s="55" t="inlineStr">
        <is>
          <t>CUS-02, CUS-03, CUS-04.</t>
        </is>
      </c>
      <c r="H11" s="55" t="inlineStr">
        <is>
          <t>18 SP</t>
        </is>
      </c>
    </row>
    <row r="12">
      <c r="A12" s="55" t="n">
        <v>2</v>
      </c>
      <c r="B12" s="55" t="inlineStr">
        <is>
          <t>1.4</t>
        </is>
      </c>
      <c r="C12" s="55" t="inlineStr">
        <is>
          <t>Doctor lịch khám và ngữ cảnh bệnh nhân</t>
        </is>
      </c>
      <c r="D12" s="52" t="inlineStr">
        <is>
          <t>Hiếu</t>
        </is>
      </c>
      <c r="E12" s="61" t="n">
        <v>46122</v>
      </c>
      <c r="F12" s="61" t="n">
        <v>46133</v>
      </c>
      <c r="G12" s="55" t="inlineStr">
        <is>
          <t>DOC-02, DOC-03.</t>
        </is>
      </c>
      <c r="H12" s="55" t="inlineStr">
        <is>
          <t>16 SP</t>
        </is>
      </c>
    </row>
    <row r="13">
      <c r="A13" s="55" t="n">
        <v>2</v>
      </c>
      <c r="B13" s="55" t="inlineStr">
        <is>
          <t>1.5</t>
        </is>
      </c>
      <c r="C13" s="55" t="inlineStr">
        <is>
          <t>Staff dashboard và tiếp nhận lịch</t>
        </is>
      </c>
      <c r="D13" s="57" t="inlineStr">
        <is>
          <t>Hiệp</t>
        </is>
      </c>
      <c r="E13" s="61" t="n">
        <v>46122</v>
      </c>
      <c r="F13" s="61" t="n">
        <v>46133</v>
      </c>
      <c r="G13" s="55" t="inlineStr">
        <is>
          <t>STF-02, STF-03.</t>
        </is>
      </c>
      <c r="H13" s="55" t="inlineStr">
        <is>
          <t>18 SP</t>
        </is>
      </c>
    </row>
    <row r="14">
      <c r="A14" s="55" t="n">
        <v>2</v>
      </c>
      <c r="B14" s="55" t="inlineStr">
        <is>
          <t>1.6</t>
        </is>
      </c>
      <c r="C14" s="55" t="inlineStr">
        <is>
          <t>Admin dashboard và shell vận hành</t>
        </is>
      </c>
      <c r="D14" s="53" t="inlineStr">
        <is>
          <t>Khải</t>
        </is>
      </c>
      <c r="E14" s="61" t="n">
        <v>46124</v>
      </c>
      <c r="F14" s="61" t="n">
        <v>46133</v>
      </c>
      <c r="G14" s="55" t="inlineStr">
        <is>
          <t>ADM-02 và điều hướng Admin Operations.</t>
        </is>
      </c>
      <c r="H14" s="55" t="inlineStr">
        <is>
          <t>15 SP</t>
        </is>
      </c>
    </row>
    <row r="15">
      <c r="A15" s="59" t="n">
        <v>1</v>
      </c>
      <c r="B15" s="59" t="inlineStr">
        <is>
          <t>2</t>
        </is>
      </c>
      <c r="C15" s="59" t="inlineStr">
        <is>
          <t>Sprint 2 - Luồng dịch vụ cốt lõi</t>
        </is>
      </c>
      <c r="D15" s="54" t="inlineStr">
        <is>
          <t>Nam Anh</t>
        </is>
      </c>
      <c r="E15" s="60" t="n">
        <v>46134</v>
      </c>
      <c r="F15" s="60" t="n">
        <v>46147</v>
      </c>
      <c r="G15" s="59" t="inlineStr">
        <is>
          <t>Đặt lịch, khám, grooming, boarding và thanh toán nền.</t>
        </is>
      </c>
      <c r="H15" s="59" t="inlineStr">
        <is>
          <t>128 SP</t>
        </is>
      </c>
    </row>
    <row r="16">
      <c r="A16" s="55" t="n">
        <v>2</v>
      </c>
      <c r="B16" s="55" t="inlineStr">
        <is>
          <t>2.1</t>
        </is>
      </c>
      <c r="C16" s="55" t="inlineStr">
        <is>
          <t>Customer đặt/đổi/hủy lịch và boarding</t>
        </is>
      </c>
      <c r="D16" s="54" t="inlineStr">
        <is>
          <t>Nam Anh</t>
        </is>
      </c>
      <c r="E16" s="61" t="n">
        <v>46134</v>
      </c>
      <c r="F16" s="61" t="n">
        <v>46147</v>
      </c>
      <c r="G16" s="55" t="inlineStr">
        <is>
          <t>CUS-05, CUS-06, CUS-07.</t>
        </is>
      </c>
      <c r="H16" s="55" t="inlineStr">
        <is>
          <t>26 SP</t>
        </is>
      </c>
    </row>
    <row r="17">
      <c r="A17" s="55" t="n">
        <v>2</v>
      </c>
      <c r="B17" s="55" t="inlineStr">
        <is>
          <t>2.2</t>
        </is>
      </c>
      <c r="C17" s="55" t="inlineStr">
        <is>
          <t>Doctor phiếu khám, lưu nháp và kê đơn</t>
        </is>
      </c>
      <c r="D17" s="52" t="inlineStr">
        <is>
          <t>Hiếu</t>
        </is>
      </c>
      <c r="E17" s="61" t="n">
        <v>46134</v>
      </c>
      <c r="F17" s="61" t="n">
        <v>46145</v>
      </c>
      <c r="G17" s="55" t="inlineStr">
        <is>
          <t>DOC-04, DOC-05.</t>
        </is>
      </c>
      <c r="H17" s="55" t="inlineStr">
        <is>
          <t>17 SP</t>
        </is>
      </c>
    </row>
    <row r="18">
      <c r="A18" s="55" t="n">
        <v>2</v>
      </c>
      <c r="B18" s="55" t="inlineStr">
        <is>
          <t>2.3</t>
        </is>
      </c>
      <c r="C18" s="55" t="inlineStr">
        <is>
          <t>Doctor hoàn tất khám và tái khám</t>
        </is>
      </c>
      <c r="D18" s="52" t="inlineStr">
        <is>
          <t>Hiếu</t>
        </is>
      </c>
      <c r="E18" s="61" t="n">
        <v>46138</v>
      </c>
      <c r="F18" s="61" t="n">
        <v>46147</v>
      </c>
      <c r="G18" s="55" t="inlineStr">
        <is>
          <t>DOC-06, DOC-07.</t>
        </is>
      </c>
      <c r="H18" s="55" t="inlineStr">
        <is>
          <t>17 SP</t>
        </is>
      </c>
    </row>
    <row r="19">
      <c r="A19" s="55" t="n">
        <v>2</v>
      </c>
      <c r="B19" s="55" t="inlineStr">
        <is>
          <t>2.4</t>
        </is>
      </c>
      <c r="C19" s="55" t="inlineStr">
        <is>
          <t>Staff grooming, boarding, checkout và payment</t>
        </is>
      </c>
      <c r="D19" s="57" t="inlineStr">
        <is>
          <t>Hiệp</t>
        </is>
      </c>
      <c r="E19" s="61" t="n">
        <v>46134</v>
      </c>
      <c r="F19" s="61" t="n">
        <v>46147</v>
      </c>
      <c r="G19" s="55" t="inlineStr">
        <is>
          <t>STF-04 đến STF-09.</t>
        </is>
      </c>
      <c r="H19" s="55" t="inlineStr">
        <is>
          <t>42 SP</t>
        </is>
      </c>
    </row>
    <row r="20">
      <c r="A20" s="55" t="n">
        <v>2</v>
      </c>
      <c r="B20" s="55" t="inlineStr">
        <is>
          <t>2.5</t>
        </is>
      </c>
      <c r="C20" s="55" t="inlineStr">
        <is>
          <t>Admin dịch vụ, lịch hẹn và lịch bác sĩ</t>
        </is>
      </c>
      <c r="D20" s="53" t="inlineStr">
        <is>
          <t>Khải</t>
        </is>
      </c>
      <c r="E20" s="61" t="n">
        <v>46136</v>
      </c>
      <c r="F20" s="61" t="n">
        <v>46147</v>
      </c>
      <c r="G20" s="55" t="inlineStr">
        <is>
          <t>ADM-05, ADM-06, ADM-07.</t>
        </is>
      </c>
      <c r="H20" s="55" t="inlineStr">
        <is>
          <t>26 SP</t>
        </is>
      </c>
    </row>
    <row r="21">
      <c r="A21" s="59" t="n">
        <v>1</v>
      </c>
      <c r="B21" s="59" t="inlineStr">
        <is>
          <t>3</t>
        </is>
      </c>
      <c r="C21" s="59" t="inlineStr">
        <is>
          <t>Sprint 3 - Dịch vụ chuyên sâu Doctor</t>
        </is>
      </c>
      <c r="D21" s="52" t="inlineStr">
        <is>
          <t>Hiếu</t>
        </is>
      </c>
      <c r="E21" s="60" t="n">
        <v>46148</v>
      </c>
      <c r="F21" s="60" t="n">
        <v>46161</v>
      </c>
      <c r="G21" s="59" t="inlineStr">
        <is>
          <t>Bổ sung xét nghiệm, X-quang, siêu âm, nội soi, nha khoa, phẫu thuật.</t>
        </is>
      </c>
      <c r="H21" s="59" t="inlineStr">
        <is>
          <t>42 SP</t>
        </is>
      </c>
    </row>
    <row r="22">
      <c r="A22" s="62" t="n">
        <v>2</v>
      </c>
      <c r="B22" s="62" t="inlineStr">
        <is>
          <t>3.1</t>
        </is>
      </c>
      <c r="C22" s="62" t="inlineStr">
        <is>
          <t>DB/API contract cho chỉ định và kết quả chuyên sâu</t>
        </is>
      </c>
      <c r="D22" s="51" t="inlineStr">
        <is>
          <t>Trường Giang</t>
        </is>
      </c>
      <c r="E22" s="63" t="n">
        <v>46148</v>
      </c>
      <c r="F22" s="63" t="n">
        <v>46153</v>
      </c>
      <c r="G22" s="62" t="inlineStr">
        <is>
          <t>AppointmentService, ServiceOrderResult, invoice idempotency.</t>
        </is>
      </c>
      <c r="H22" s="62" t="inlineStr">
        <is>
          <t>8 SP</t>
        </is>
      </c>
    </row>
    <row r="23">
      <c r="A23" s="62" t="n">
        <v>2</v>
      </c>
      <c r="B23" s="62" t="inlineStr">
        <is>
          <t>3.2</t>
        </is>
      </c>
      <c r="C23" s="62" t="inlineStr">
        <is>
          <t>Admin cấu hình danh mục dịch vụ chuyên sâu</t>
        </is>
      </c>
      <c r="D23" s="53" t="inlineStr">
        <is>
          <t>Khải</t>
        </is>
      </c>
      <c r="E23" s="63" t="n">
        <v>46148</v>
      </c>
      <c r="F23" s="63" t="n">
        <v>46152</v>
      </c>
      <c r="G23" s="62" t="inlineStr">
        <is>
          <t>Dịch vụ có specialist room type.</t>
        </is>
      </c>
      <c r="H23" s="62" t="inlineStr">
        <is>
          <t>5 SP</t>
        </is>
      </c>
    </row>
    <row r="24">
      <c r="A24" s="62" t="n">
        <v>2</v>
      </c>
      <c r="B24" s="62" t="inlineStr">
        <is>
          <t>3.3</t>
        </is>
      </c>
      <c r="C24" s="62" t="inlineStr">
        <is>
          <t>DOC-11 - Bác sĩ chỉ định dịch vụ chuyên sâu</t>
        </is>
      </c>
      <c r="D24" s="52" t="inlineStr">
        <is>
          <t>Hiếu</t>
        </is>
      </c>
      <c r="E24" s="63" t="n">
        <v>46150</v>
      </c>
      <c r="F24" s="63" t="n">
        <v>46155</v>
      </c>
      <c r="G24" s="62" t="inlineStr">
        <is>
          <t>Panel chỉ định trong phiếu khám.</t>
        </is>
      </c>
      <c r="H24" s="62" t="inlineStr">
        <is>
          <t>8 SP</t>
        </is>
      </c>
    </row>
    <row r="25">
      <c r="A25" s="62" t="n">
        <v>2</v>
      </c>
      <c r="B25" s="62" t="inlineStr">
        <is>
          <t>3.4</t>
        </is>
      </c>
      <c r="C25" s="62" t="inlineStr">
        <is>
          <t>DOC-12 - Hàng đợi và nhập kết quả chuyên sâu</t>
        </is>
      </c>
      <c r="D25" s="57" t="inlineStr">
        <is>
          <t>Hiệp</t>
        </is>
      </c>
      <c r="E25" s="63" t="n">
        <v>46152</v>
      </c>
      <c r="F25" s="63" t="n">
        <v>46160</v>
      </c>
      <c r="G25" s="62" t="inlineStr">
        <is>
          <t>Hiệp phụ trách phần vận hành queue/result để cân workload.</t>
        </is>
      </c>
      <c r="H25" s="62" t="inlineStr">
        <is>
          <t>10 SP</t>
        </is>
      </c>
    </row>
    <row r="26">
      <c r="A26" s="62" t="n">
        <v>2</v>
      </c>
      <c r="B26" s="62" t="inlineStr">
        <is>
          <t>3.5</t>
        </is>
      </c>
      <c r="C26" s="62" t="inlineStr">
        <is>
          <t>Customer lịch sử/hóa đơn có dịch vụ chuyên sâu</t>
        </is>
      </c>
      <c r="D26" s="54" t="inlineStr">
        <is>
          <t>Nam Anh</t>
        </is>
      </c>
      <c r="E26" s="63" t="n">
        <v>46156</v>
      </c>
      <c r="F26" s="63" t="n">
        <v>46161</v>
      </c>
      <c r="G26" s="62" t="inlineStr">
        <is>
          <t>Bổ sung dữ liệu chuyên sâu vào CUS-09.</t>
        </is>
      </c>
      <c r="H26" s="62" t="inlineStr">
        <is>
          <t>3 SP</t>
        </is>
      </c>
    </row>
    <row r="27">
      <c r="A27" s="62" t="n">
        <v>2</v>
      </c>
      <c r="B27" s="62" t="inlineStr">
        <is>
          <t>3.6</t>
        </is>
      </c>
      <c r="C27" s="62" t="inlineStr">
        <is>
          <t>Doctor dùng kết quả chuyên sâu khi hoàn tất bệnh án</t>
        </is>
      </c>
      <c r="D27" s="52" t="inlineStr">
        <is>
          <t>Hiếu</t>
        </is>
      </c>
      <c r="E27" s="63" t="n">
        <v>46156</v>
      </c>
      <c r="F27" s="63" t="n">
        <v>46161</v>
      </c>
      <c r="G27" s="62" t="inlineStr">
        <is>
          <t>DOC-13.</t>
        </is>
      </c>
      <c r="H27" s="62" t="inlineStr">
        <is>
          <t>8 SP</t>
        </is>
      </c>
    </row>
    <row r="28">
      <c r="A28" s="59" t="n">
        <v>1</v>
      </c>
      <c r="B28" s="59" t="inlineStr">
        <is>
          <t>4</t>
        </is>
      </c>
      <c r="C28" s="59" t="inlineStr">
        <is>
          <t>Sprint 4 - Hoàn thiện code, tích hợp và kiểm thử</t>
        </is>
      </c>
      <c r="D28" s="53" t="inlineStr">
        <is>
          <t>Khải</t>
        </is>
      </c>
      <c r="E28" s="60" t="n">
        <v>46162</v>
      </c>
      <c r="F28" s="60" t="n">
        <v>46180</v>
      </c>
      <c r="G28" s="59" t="inlineStr">
        <is>
          <t>Ngày 07/06 là mốc kết thúc công việc code.</t>
        </is>
      </c>
      <c r="H28" s="59" t="inlineStr">
        <is>
          <t>72 SP</t>
        </is>
      </c>
    </row>
    <row r="29">
      <c r="A29" s="55" t="n">
        <v>2</v>
      </c>
      <c r="B29" s="55" t="inlineStr">
        <is>
          <t>4.1</t>
        </is>
      </c>
      <c r="C29" s="55" t="inlineStr">
        <is>
          <t>Admin báo cáo, health trends, settings/email</t>
        </is>
      </c>
      <c r="D29" s="53" t="inlineStr">
        <is>
          <t>Khải</t>
        </is>
      </c>
      <c r="E29" s="61" t="n">
        <v>46162</v>
      </c>
      <c r="F29" s="61" t="n">
        <v>46171</v>
      </c>
      <c r="G29" s="55" t="inlineStr">
        <is>
          <t>ADM-08, ADM-09, ADM-10.</t>
        </is>
      </c>
      <c r="H29" s="55" t="inlineStr">
        <is>
          <t>27 SP</t>
        </is>
      </c>
    </row>
    <row r="30">
      <c r="A30" s="55" t="n">
        <v>2</v>
      </c>
      <c r="B30" s="55" t="inlineStr">
        <is>
          <t>4.2</t>
        </is>
      </c>
      <c r="C30" s="55" t="inlineStr">
        <is>
          <t>Customer thuốc, lịch sử, thông báo và rating</t>
        </is>
      </c>
      <c r="D30" s="54" t="inlineStr">
        <is>
          <t>Nam Anh</t>
        </is>
      </c>
      <c r="E30" s="61" t="n">
        <v>46162</v>
      </c>
      <c r="F30" s="61" t="n">
        <v>46177</v>
      </c>
      <c r="G30" s="55" t="inlineStr">
        <is>
          <t>CUS-08, CUS-09, CUS-10, CUS-11.</t>
        </is>
      </c>
      <c r="H30" s="55" t="inlineStr">
        <is>
          <t>26 SP</t>
        </is>
      </c>
    </row>
    <row r="31">
      <c r="A31" s="55" t="n">
        <v>2</v>
      </c>
      <c r="B31" s="55" t="inlineStr">
        <is>
          <t>4.3</t>
        </is>
      </c>
      <c r="C31" s="55" t="inlineStr">
        <is>
          <t>Doctor records, stats và settings</t>
        </is>
      </c>
      <c r="D31" s="52" t="inlineStr">
        <is>
          <t>Hiếu</t>
        </is>
      </c>
      <c r="E31" s="61" t="n">
        <v>46164</v>
      </c>
      <c r="F31" s="61" t="n">
        <v>46172</v>
      </c>
      <c r="G31" s="55" t="inlineStr">
        <is>
          <t>DOC-09, DOC-10 sau khi DOC-08 nền do Trường Giang hỗ trợ.</t>
        </is>
      </c>
      <c r="H31" s="55" t="inlineStr">
        <is>
          <t>8 SP</t>
        </is>
      </c>
    </row>
    <row r="32">
      <c r="A32" s="55" t="n">
        <v>2</v>
      </c>
      <c r="B32" s="55" t="inlineStr">
        <is>
          <t>4.4</t>
        </is>
      </c>
      <c r="C32" s="55" t="inlineStr">
        <is>
          <t>Regression và E2E toàn hệ thống</t>
        </is>
      </c>
      <c r="D32" s="51" t="inlineStr">
        <is>
          <t>Trường Giang</t>
        </is>
      </c>
      <c r="E32" s="61" t="n">
        <v>46169</v>
      </c>
      <c r="F32" s="61" t="n">
        <v>46180</v>
      </c>
      <c r="G32" s="55" t="inlineStr">
        <is>
          <t>Customer -&gt; Staff/Doctor -&gt; Invoice -&gt; Admin.</t>
        </is>
      </c>
      <c r="H32" s="55" t="inlineStr">
        <is>
          <t>5 SP</t>
        </is>
      </c>
    </row>
    <row r="33">
      <c r="A33" s="55" t="n">
        <v>2</v>
      </c>
      <c r="B33" s="55" t="inlineStr">
        <is>
          <t>4.5</t>
        </is>
      </c>
      <c r="C33" s="55" t="inlineStr">
        <is>
          <t>Staff hỗ trợ bug bash vận hành</t>
        </is>
      </c>
      <c r="D33" s="57" t="inlineStr">
        <is>
          <t>Hiệp</t>
        </is>
      </c>
      <c r="E33" s="61" t="n">
        <v>46171</v>
      </c>
      <c r="F33" s="61" t="n">
        <v>46180</v>
      </c>
      <c r="G33" s="55" t="inlineStr">
        <is>
          <t>Kiểm tra check-in, checkout, payment và specialist queue.</t>
        </is>
      </c>
      <c r="H33" s="55" t="inlineStr">
        <is>
          <t>6 SP</t>
        </is>
      </c>
    </row>
    <row r="34">
      <c r="A34" s="59" t="n">
        <v>1</v>
      </c>
      <c r="B34" s="59" t="inlineStr">
        <is>
          <t>5</t>
        </is>
      </c>
      <c r="C34" s="59" t="inlineStr">
        <is>
          <t>Sprint 5 - Đặc tả, demo và bàn giao</t>
        </is>
      </c>
      <c r="D34" s="53" t="inlineStr">
        <is>
          <t>Khải</t>
        </is>
      </c>
      <c r="E34" s="60" t="n">
        <v>46181</v>
      </c>
      <c r="F34" s="60" t="n">
        <v>46187</v>
      </c>
      <c r="G34" s="59" t="inlineStr">
        <is>
          <t>Sau code freeze: tài liệu đặc tả, demo, nghiệm thu và handoff.</t>
        </is>
      </c>
      <c r="H34" s="59" t="inlineStr">
        <is>
          <t>37 SP</t>
        </is>
      </c>
    </row>
    <row r="35">
      <c r="A35" s="55" t="n">
        <v>2</v>
      </c>
      <c r="B35" s="55" t="inlineStr">
        <is>
          <t>5.1</t>
        </is>
      </c>
      <c r="C35" s="55" t="inlineStr">
        <is>
          <t>Hoàn thiện đặc tả SRS, user stories và work log</t>
        </is>
      </c>
      <c r="D35" s="53" t="inlineStr">
        <is>
          <t>Khải</t>
        </is>
      </c>
      <c r="E35" s="61" t="n">
        <v>46181</v>
      </c>
      <c r="F35" s="61" t="n">
        <v>46184</v>
      </c>
      <c r="G35" s="55" t="inlineStr">
        <is>
          <t>Đồng bộ DOC-11..13 và workbook kế hoạch.</t>
        </is>
      </c>
      <c r="H35" s="55" t="inlineStr">
        <is>
          <t>10 SP</t>
        </is>
      </c>
    </row>
    <row r="36">
      <c r="A36" s="55" t="n">
        <v>2</v>
      </c>
      <c r="B36" s="55" t="inlineStr">
        <is>
          <t>5.2</t>
        </is>
      </c>
      <c r="C36" s="55" t="inlineStr">
        <is>
          <t>Chuẩn bị dữ liệu demo và kịch bản trình bày</t>
        </is>
      </c>
      <c r="D36" s="54" t="inlineStr">
        <is>
          <t>Nam Anh</t>
        </is>
      </c>
      <c r="E36" s="61" t="n">
        <v>46182</v>
      </c>
      <c r="F36" s="61" t="n">
        <v>46185</v>
      </c>
      <c r="G36" s="55" t="inlineStr">
        <is>
          <t>Kịch bản Customer -&gt; Doctor specialist -&gt; Invoice -&gt; Admin report.</t>
        </is>
      </c>
      <c r="H36" s="55" t="inlineStr">
        <is>
          <t>8 SP</t>
        </is>
      </c>
    </row>
    <row r="37">
      <c r="A37" s="55" t="n">
        <v>2</v>
      </c>
      <c r="B37" s="55" t="inlineStr">
        <is>
          <t>5.3</t>
        </is>
      </c>
      <c r="C37" s="55" t="inlineStr">
        <is>
          <t>Tổng hợp dashboard báo cáo dự án</t>
        </is>
      </c>
      <c r="D37" s="57" t="inlineStr">
        <is>
          <t>Hiệp</t>
        </is>
      </c>
      <c r="E37" s="61" t="n">
        <v>46183</v>
      </c>
      <c r="F37" s="61" t="n">
        <v>46186</v>
      </c>
      <c r="G37" s="55" t="inlineStr">
        <is>
          <t>Cập nhật biểu đồ tiến độ, trạng thái và phân bổ thành viên.</t>
        </is>
      </c>
      <c r="H37" s="55" t="inlineStr">
        <is>
          <t>6 SP</t>
        </is>
      </c>
    </row>
    <row r="38">
      <c r="A38" s="55" t="n">
        <v>2</v>
      </c>
      <c r="B38" s="55" t="inlineStr">
        <is>
          <t>5.4</t>
        </is>
      </c>
      <c r="C38" s="55" t="inlineStr">
        <is>
          <t>Tài liệu kỹ thuật và checklist bàn giao</t>
        </is>
      </c>
      <c r="D38" s="51" t="inlineStr">
        <is>
          <t>Trường Giang</t>
        </is>
      </c>
      <c r="E38" s="61" t="n">
        <v>46183</v>
      </c>
      <c r="F38" s="61" t="n">
        <v>46186</v>
      </c>
      <c r="G38" s="55" t="inlineStr">
        <is>
          <t>Checklist API, database, deployment và test evidence.</t>
        </is>
      </c>
      <c r="H38" s="55" t="inlineStr">
        <is>
          <t>5 SP</t>
        </is>
      </c>
    </row>
    <row r="39">
      <c r="A39" s="55" t="n">
        <v>2</v>
      </c>
      <c r="B39" s="55" t="inlineStr">
        <is>
          <t>5.5</t>
        </is>
      </c>
      <c r="C39" s="55" t="inlineStr">
        <is>
          <t>Demo, nghiệm thu và retrospective</t>
        </is>
      </c>
      <c r="D39" s="52" t="inlineStr">
        <is>
          <t>Hiếu</t>
        </is>
      </c>
      <c r="E39" s="61" t="n">
        <v>46186</v>
      </c>
      <c r="F39" s="61" t="n">
        <v>46187</v>
      </c>
      <c r="G39" s="55" t="inlineStr">
        <is>
          <t>Demo cuối, ghi nhận feedback và bàn giao.</t>
        </is>
      </c>
      <c r="H39" s="55" t="inlineStr">
        <is>
          <t>8 SP</t>
        </is>
      </c>
    </row>
    <row r="40"/>
    <row r="41"/>
    <row r="42">
      <c r="B42" s="51" t="inlineStr">
        <is>
          <t>Status</t>
        </is>
      </c>
      <c r="C42" s="51" t="inlineStr">
        <is>
          <t>Count</t>
        </is>
      </c>
      <c r="E42" s="52" t="inlineStr">
        <is>
          <t>Priority</t>
        </is>
      </c>
      <c r="F42" s="52" t="inlineStr">
        <is>
          <t>Count</t>
        </is>
      </c>
      <c r="H42" s="53" t="inlineStr">
        <is>
          <t>Member</t>
        </is>
      </c>
      <c r="I42" s="53" t="inlineStr">
        <is>
          <t>SP</t>
        </is>
      </c>
      <c r="K42" s="54" t="inlineStr">
        <is>
          <t>Sprint</t>
        </is>
      </c>
      <c r="L42" s="54" t="inlineStr">
        <is>
          <t>Start</t>
        </is>
      </c>
      <c r="M42" s="54" t="inlineStr">
        <is>
          <t>Finish</t>
        </is>
      </c>
      <c r="N42" s="54" t="inlineStr">
        <is>
          <t>SP</t>
        </is>
      </c>
      <c r="P42" s="57" t="inlineStr">
        <is>
          <t>Phase</t>
        </is>
      </c>
      <c r="Q42" s="57" t="inlineStr">
        <is>
          <t>Days</t>
        </is>
      </c>
    </row>
    <row r="43">
      <c r="B43" s="55" t="inlineStr">
        <is>
          <t>Complete</t>
        </is>
      </c>
      <c r="C43" s="55" t="n">
        <v>29</v>
      </c>
      <c r="E43" s="55" t="inlineStr">
        <is>
          <t>High</t>
        </is>
      </c>
      <c r="F43" s="55" t="n">
        <v>19</v>
      </c>
      <c r="H43" s="54" t="inlineStr">
        <is>
          <t>Nam Anh</t>
        </is>
      </c>
      <c r="I43" s="55" t="n">
        <v>81</v>
      </c>
      <c r="K43" s="55" t="inlineStr">
        <is>
          <t>Sprint 0</t>
        </is>
      </c>
      <c r="L43" s="56" t="n">
        <v>46113</v>
      </c>
      <c r="M43" s="56" t="n">
        <v>46119</v>
      </c>
      <c r="N43" s="55" t="n">
        <v>22</v>
      </c>
      <c r="P43" s="55" t="inlineStr">
        <is>
          <t>Code Development</t>
        </is>
      </c>
      <c r="Q43" s="55" t="n">
        <v>68</v>
      </c>
    </row>
    <row r="44">
      <c r="E44" s="55" t="inlineStr">
        <is>
          <t>Medium</t>
        </is>
      </c>
      <c r="F44" s="55" t="n">
        <v>10</v>
      </c>
      <c r="H44" s="51" t="inlineStr">
        <is>
          <t>Trường Giang</t>
        </is>
      </c>
      <c r="I44" s="55" t="n">
        <v>82</v>
      </c>
      <c r="K44" s="55" t="inlineStr">
        <is>
          <t>Sprint 1</t>
        </is>
      </c>
      <c r="L44" s="56" t="n">
        <v>46120</v>
      </c>
      <c r="M44" s="56" t="n">
        <v>46133</v>
      </c>
      <c r="N44" s="55" t="n">
        <v>109</v>
      </c>
      <c r="P44" s="55" t="inlineStr">
        <is>
          <t>Docs / Demo / Handoff</t>
        </is>
      </c>
      <c r="Q44" s="55" t="n">
        <v>7</v>
      </c>
    </row>
    <row r="45">
      <c r="E45" s="55" t="inlineStr">
        <is>
          <t>Low</t>
        </is>
      </c>
      <c r="F45" s="55" t="n">
        <v>0</v>
      </c>
      <c r="H45" s="52" t="inlineStr">
        <is>
          <t>Hiếu</t>
        </is>
      </c>
      <c r="I45" s="55" t="n">
        <v>82</v>
      </c>
      <c r="K45" s="55" t="inlineStr">
        <is>
          <t>Sprint 2</t>
        </is>
      </c>
      <c r="L45" s="56" t="n">
        <v>46134</v>
      </c>
      <c r="M45" s="56" t="n">
        <v>46147</v>
      </c>
      <c r="N45" s="55" t="n">
        <v>128</v>
      </c>
    </row>
    <row r="46">
      <c r="H46" s="57" t="inlineStr">
        <is>
          <t>Hiệp</t>
        </is>
      </c>
      <c r="I46" s="55" t="n">
        <v>82</v>
      </c>
      <c r="K46" s="55" t="inlineStr">
        <is>
          <t>Sprint 3</t>
        </is>
      </c>
      <c r="L46" s="56" t="n">
        <v>46148</v>
      </c>
      <c r="M46" s="56" t="n">
        <v>46161</v>
      </c>
      <c r="N46" s="55" t="n">
        <v>42</v>
      </c>
    </row>
    <row r="47">
      <c r="H47" s="53" t="inlineStr">
        <is>
          <t>Khải</t>
        </is>
      </c>
      <c r="I47" s="55" t="n">
        <v>83</v>
      </c>
      <c r="K47" s="55" t="inlineStr">
        <is>
          <t>Sprint 4</t>
        </is>
      </c>
      <c r="L47" s="56" t="n">
        <v>46162</v>
      </c>
      <c r="M47" s="56" t="n">
        <v>46180</v>
      </c>
      <c r="N47" s="55" t="n">
        <v>72</v>
      </c>
    </row>
    <row r="48">
      <c r="K48" s="55" t="inlineStr">
        <is>
          <t>Sprint 5</t>
        </is>
      </c>
      <c r="L48" s="56" t="n">
        <v>46181</v>
      </c>
      <c r="M48" s="56" t="n">
        <v>46187</v>
      </c>
      <c r="N48" s="55" t="n">
        <v>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2026-06-20T00:50:24Z</dcterms:created>
  <dcterms:modified xmlns:dcterms="http://purl.org/dc/terms/" xmlns:xsi="http://www.w3.org/2001/XMLSchema-instance" xsi:type="dcterms:W3CDTF">2026-06-20T01:20:02Z</dcterms:modified>
  <cp:lastModifiedBy>Tran Duc Nam Anh 20235655</cp:lastModifiedBy>
</cp:coreProperties>
</file>