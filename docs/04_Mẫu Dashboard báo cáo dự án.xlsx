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VD MẪU DASHBOARD BÁO CÁO DỰ ÁN" sheetId="1" state="visible" r:id="rId1"/>
    <sheet xmlns:r="http://schemas.openxmlformats.org/officeDocument/2006/relationships" name="MẪU DASHBOARD BÁO CÁO DỰ ÁN" sheetId="2" state="visible" r:id="rId2"/>
    <sheet xmlns:r="http://schemas.openxmlformats.org/officeDocument/2006/relationships" name="Pet Service Dashboar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mm/dd/yy"/>
    <numFmt numFmtId="165" formatCode="mm/dd"/>
    <numFmt numFmtId="166" formatCode="m/d"/>
    <numFmt numFmtId="167" formatCode="dd/mm/yyyy"/>
    <numFmt numFmtId="168" formatCode="dd/mm"/>
    <numFmt numFmtId="169" formatCode="yyyy\-mm\-dd"/>
    <numFmt numFmtId="170" formatCode="yyyy-mm-dd"/>
  </numFmts>
  <fonts count="21">
    <font>
      <name val="Arial"/>
      <color theme="1"/>
      <sz val="12"/>
      <scheme val="minor"/>
    </font>
    <font>
      <name val="Lexend"/>
      <color theme="1"/>
      <sz val="10"/>
    </font>
    <font>
      <name val="Lexend"/>
      <b val="1"/>
      <color rgb="FF7F7F7F"/>
      <sz val="20"/>
    </font>
    <font>
      <name val="Lexend"/>
      <color theme="1"/>
      <sz val="12"/>
    </font>
    <font>
      <name val="Lexend"/>
      <color theme="1"/>
      <sz val="11"/>
    </font>
    <font>
      <name val="Lexend"/>
      <b val="1"/>
      <color theme="1"/>
      <sz val="13"/>
    </font>
    <font>
      <name val="Lexend"/>
      <b val="1"/>
      <color theme="1"/>
      <sz val="18"/>
    </font>
    <font>
      <name val="Lexend"/>
      <color theme="1"/>
      <sz val="22"/>
    </font>
    <font>
      <name val="Lexend"/>
      <color theme="1"/>
      <sz val="16"/>
    </font>
    <font>
      <name val="Lexend"/>
      <b val="1"/>
      <color theme="0"/>
      <sz val="10"/>
    </font>
    <font>
      <name val="Lexend"/>
      <color rgb="FF000000"/>
      <sz val="10"/>
    </font>
    <font>
      <name val="Lexend"/>
      <b val="1"/>
      <color theme="1"/>
      <sz val="10"/>
    </font>
    <font>
      <name val="Lexend"/>
      <color theme="1"/>
      <sz val="20"/>
    </font>
    <font>
      <name val="Barlow"/>
      <b val="1"/>
      <color rgb="FF244061"/>
      <sz val="11"/>
    </font>
    <font>
      <name val="Barlow"/>
      <sz val="11"/>
    </font>
    <font>
      <name val="Arial"/>
      <b val="1"/>
      <color rgb="FFFFFFFF"/>
      <sz val="12"/>
    </font>
    <font>
      <name val="Arial"/>
      <b val="1"/>
      <color rgb="FF17365D"/>
      <sz val="18"/>
    </font>
    <font>
      <name val="Arial"/>
      <i val="1"/>
      <color rgb="FF7F7F7F"/>
      <sz val="12"/>
    </font>
    <font>
      <b val="1"/>
      <color rgb="0017365D"/>
      <sz val="18"/>
    </font>
    <font>
      <b val="1"/>
      <color rgb="00FFFFFF"/>
    </font>
    <font>
      <i val="1"/>
      <color rgb="007F7F7F"/>
    </font>
  </fonts>
  <fills count="3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00BD32"/>
        <bgColor rgb="FF00BD32"/>
      </patternFill>
    </fill>
    <fill>
      <patternFill patternType="solid">
        <fgColor rgb="FF93CF31"/>
        <bgColor rgb="FF93CF31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EAF4E2"/>
      </patternFill>
    </fill>
    <fill>
      <patternFill patternType="solid">
        <fgColor rgb="FF17365D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00A6A6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17365D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00A6A6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/>
      <bottom style="thin">
        <color rgb="FFBFBFBF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105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left" vertical="center"/>
    </xf>
    <xf numFmtId="0" fontId="5" fillId="2" borderId="3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9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left" vertical="center" wrapText="1" readingOrder="1"/>
    </xf>
    <xf numFmtId="0" fontId="1" fillId="2" borderId="6" applyAlignment="1" pivotButton="0" quotePrefix="0" xfId="0">
      <alignment horizontal="left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7" borderId="6" applyAlignment="1" pivotButton="0" quotePrefix="0" xfId="0">
      <alignment horizontal="left" vertical="center" wrapText="1"/>
    </xf>
    <xf numFmtId="0" fontId="1" fillId="8" borderId="6" applyAlignment="1" pivotButton="0" quotePrefix="0" xfId="0">
      <alignment horizontal="left" vertical="center" wrapText="1"/>
    </xf>
    <xf numFmtId="166" fontId="10" fillId="2" borderId="6" applyAlignment="1" pivotButton="0" quotePrefix="0" xfId="0">
      <alignment horizontal="left" vertical="center" wrapText="1" readingOrder="1"/>
    </xf>
    <xf numFmtId="165" fontId="10" fillId="6" borderId="6" applyAlignment="1" pivotButton="0" quotePrefix="0" xfId="0">
      <alignment horizontal="center" vertical="center" wrapText="1" readingOrder="1"/>
    </xf>
    <xf numFmtId="0" fontId="10" fillId="9" borderId="6" applyAlignment="1" pivotButton="0" quotePrefix="0" xfId="0">
      <alignment horizontal="left" vertical="center" wrapText="1" readingOrder="1"/>
    </xf>
    <xf numFmtId="0" fontId="10" fillId="10" borderId="6" applyAlignment="1" pivotButton="0" quotePrefix="0" xfId="0">
      <alignment horizontal="left" vertical="center" wrapText="1" readingOrder="1"/>
    </xf>
    <xf numFmtId="0" fontId="1" fillId="0" borderId="6" applyAlignment="1" pivotButton="0" quotePrefix="0" xfId="0">
      <alignment horizontal="left" vertical="center" wrapText="1"/>
    </xf>
    <xf numFmtId="166" fontId="1" fillId="2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11" borderId="6" applyAlignment="1" pivotButton="0" quotePrefix="0" xfId="0">
      <alignment horizontal="left" vertical="center"/>
    </xf>
    <xf numFmtId="0" fontId="1" fillId="11" borderId="6" applyAlignment="1" pivotButton="0" quotePrefix="0" xfId="0">
      <alignment horizontal="center" vertical="center"/>
    </xf>
    <xf numFmtId="0" fontId="1" fillId="12" borderId="6" applyAlignment="1" pivotButton="0" quotePrefix="0" xfId="0">
      <alignment horizontal="left" vertical="center"/>
    </xf>
    <xf numFmtId="3" fontId="1" fillId="0" borderId="6" applyAlignment="1" pivotButton="0" quotePrefix="0" xfId="0">
      <alignment horizontal="left" vertical="center"/>
    </xf>
    <xf numFmtId="0" fontId="1" fillId="13" borderId="7" applyAlignment="1" pivotButton="0" quotePrefix="0" xfId="0">
      <alignment horizontal="left" vertical="center" wrapText="1"/>
    </xf>
    <xf numFmtId="1" fontId="1" fillId="6" borderId="6" applyAlignment="1" pivotButton="0" quotePrefix="0" xfId="0">
      <alignment horizontal="center" vertical="center"/>
    </xf>
    <xf numFmtId="9" fontId="1" fillId="6" borderId="6" applyAlignment="1" pivotButton="0" quotePrefix="0" xfId="0">
      <alignment horizontal="center" vertical="center"/>
    </xf>
    <xf numFmtId="0" fontId="1" fillId="14" borderId="5" applyAlignment="1" pivotButton="0" quotePrefix="0" xfId="0">
      <alignment horizontal="left" vertical="center"/>
    </xf>
    <xf numFmtId="3" fontId="1" fillId="0" borderId="5" applyAlignment="1" pivotButton="0" quotePrefix="0" xfId="0">
      <alignment horizontal="left" vertical="center"/>
    </xf>
    <xf numFmtId="0" fontId="10" fillId="15" borderId="6" applyAlignment="1" pivotButton="0" quotePrefix="0" xfId="0">
      <alignment horizontal="left" vertical="center" wrapText="1" readingOrder="1"/>
    </xf>
    <xf numFmtId="0" fontId="10" fillId="14" borderId="7" applyAlignment="1" pivotButton="0" quotePrefix="0" xfId="0">
      <alignment horizontal="left" vertical="center" wrapText="1" readingOrder="1"/>
    </xf>
    <xf numFmtId="0" fontId="1" fillId="9" borderId="7" applyAlignment="1" pivotButton="0" quotePrefix="0" xfId="0">
      <alignment horizontal="left" vertical="center" wrapText="1"/>
    </xf>
    <xf numFmtId="0" fontId="1" fillId="16" borderId="2" applyAlignment="1" pivotButton="0" quotePrefix="0" xfId="0">
      <alignment horizontal="left" vertical="center" wrapText="1"/>
    </xf>
    <xf numFmtId="1" fontId="1" fillId="6" borderId="5" applyAlignment="1" pivotButton="0" quotePrefix="0" xfId="0">
      <alignment horizontal="center" vertical="center"/>
    </xf>
    <xf numFmtId="9" fontId="1" fillId="6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1" fontId="11" fillId="11" borderId="8" applyAlignment="1" pivotButton="0" quotePrefix="0" xfId="0">
      <alignment horizontal="center" vertical="center"/>
    </xf>
    <xf numFmtId="9" fontId="11" fillId="11" borderId="8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1" fillId="10" borderId="6" applyAlignment="1" pivotButton="0" quotePrefix="0" xfId="0">
      <alignment horizontal="left" vertical="center"/>
    </xf>
    <xf numFmtId="0" fontId="1" fillId="14" borderId="6" applyAlignment="1" pivotButton="0" quotePrefix="0" xfId="0">
      <alignment horizontal="left" vertical="center"/>
    </xf>
    <xf numFmtId="0" fontId="1" fillId="17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wrapText="1"/>
    </xf>
    <xf numFmtId="0" fontId="12" fillId="2" borderId="1" applyAlignment="1" pivotButton="0" quotePrefix="0" xfId="0">
      <alignment vertical="center" wrapText="1"/>
    </xf>
    <xf numFmtId="0" fontId="13" fillId="18" borderId="9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left" vertical="center"/>
    </xf>
    <xf numFmtId="167" fontId="0" fillId="0" borderId="0" pivotButton="0" quotePrefix="0" xfId="0"/>
    <xf numFmtId="9" fontId="0" fillId="0" borderId="0" pivotButton="0" quotePrefix="0" xfId="0"/>
    <xf numFmtId="0" fontId="0" fillId="0" borderId="11" applyAlignment="1" pivotButton="0" quotePrefix="0" xfId="0">
      <alignment vertical="top" wrapText="1"/>
    </xf>
    <xf numFmtId="0" fontId="0" fillId="19" borderId="11" applyAlignment="1" pivotButton="0" quotePrefix="0" xfId="0">
      <alignment vertical="top" wrapText="1"/>
    </xf>
    <xf numFmtId="167" fontId="0" fillId="19" borderId="11" applyAlignment="1" pivotButton="0" quotePrefix="0" xfId="0">
      <alignment vertical="top" wrapText="1"/>
    </xf>
    <xf numFmtId="0" fontId="16" fillId="0" borderId="0" pivotButton="0" quotePrefix="0" xfId="0"/>
    <xf numFmtId="0" fontId="15" fillId="20" borderId="11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21" borderId="11" applyAlignment="1" pivotButton="0" quotePrefix="0" xfId="0">
      <alignment vertical="top" wrapText="1"/>
    </xf>
    <xf numFmtId="0" fontId="15" fillId="22" borderId="11" applyAlignment="1" pivotButton="0" quotePrefix="0" xfId="0">
      <alignment vertical="top" wrapText="1"/>
    </xf>
    <xf numFmtId="0" fontId="15" fillId="23" borderId="11" applyAlignment="1" pivotButton="0" quotePrefix="0" xfId="0">
      <alignment vertical="top" wrapText="1"/>
    </xf>
    <xf numFmtId="0" fontId="15" fillId="24" borderId="11" applyAlignment="1" pivotButton="0" quotePrefix="0" xfId="0">
      <alignment vertical="top" wrapText="1"/>
    </xf>
    <xf numFmtId="168" fontId="0" fillId="0" borderId="11" applyAlignment="1" pivotButton="0" quotePrefix="0" xfId="0">
      <alignment vertical="top" wrapText="1"/>
    </xf>
    <xf numFmtId="0" fontId="15" fillId="25" borderId="11" applyAlignment="1" pivotButton="0" quotePrefix="0" xfId="0">
      <alignment vertical="top" wrapText="1"/>
    </xf>
    <xf numFmtId="169" fontId="0" fillId="0" borderId="0" pivotButton="0" quotePrefix="0" xfId="0"/>
    <xf numFmtId="0" fontId="0" fillId="19" borderId="0" pivotButton="0" quotePrefix="0" xfId="0"/>
    <xf numFmtId="0" fontId="0" fillId="26" borderId="0" pivotButton="0" quotePrefix="0" xfId="0"/>
    <xf numFmtId="0" fontId="0" fillId="26" borderId="11" applyAlignment="1" pivotButton="0" quotePrefix="0" xfId="0">
      <alignment vertical="top" wrapText="1"/>
    </xf>
    <xf numFmtId="167" fontId="0" fillId="26" borderId="11" applyAlignment="1" pivotButton="0" quotePrefix="0" xfId="0">
      <alignment vertical="top" wrapText="1"/>
    </xf>
    <xf numFmtId="0" fontId="0" fillId="27" borderId="0" pivotButton="0" quotePrefix="0" xfId="0"/>
    <xf numFmtId="0" fontId="0" fillId="27" borderId="11" applyAlignment="1" pivotButton="0" quotePrefix="0" xfId="0">
      <alignment vertical="top" wrapText="1"/>
    </xf>
    <xf numFmtId="167" fontId="0" fillId="27" borderId="11" applyAlignment="1" pivotButton="0" quotePrefix="0" xfId="0">
      <alignment vertical="top" wrapText="1"/>
    </xf>
    <xf numFmtId="0" fontId="18" fillId="0" borderId="0" pivotButton="0" quotePrefix="0" xfId="0"/>
    <xf numFmtId="0" fontId="19" fillId="28" borderId="12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29" borderId="12" applyAlignment="1" pivotButton="0" quotePrefix="0" xfId="0">
      <alignment vertical="top" wrapText="1"/>
    </xf>
    <xf numFmtId="0" fontId="19" fillId="30" borderId="12" applyAlignment="1" pivotButton="0" quotePrefix="0" xfId="0">
      <alignment vertical="top" wrapText="1"/>
    </xf>
    <xf numFmtId="0" fontId="19" fillId="31" borderId="12" applyAlignment="1" pivotButton="0" quotePrefix="0" xfId="0">
      <alignment vertical="top" wrapText="1"/>
    </xf>
    <xf numFmtId="0" fontId="19" fillId="32" borderId="12" applyAlignment="1" pivotButton="0" quotePrefix="0" xfId="0">
      <alignment vertical="top" wrapText="1"/>
    </xf>
    <xf numFmtId="0" fontId="19" fillId="33" borderId="12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168" fontId="0" fillId="0" borderId="12" applyAlignment="1" pivotButton="0" quotePrefix="0" xfId="0">
      <alignment vertical="top" wrapText="1"/>
    </xf>
    <xf numFmtId="167" fontId="0" fillId="0" borderId="12" applyAlignment="1" pivotButton="0" quotePrefix="0" xfId="0">
      <alignment vertical="top" wrapText="1"/>
    </xf>
    <xf numFmtId="0" fontId="0" fillId="34" borderId="0" pivotButton="0" quotePrefix="0" xfId="0"/>
    <xf numFmtId="0" fontId="0" fillId="34" borderId="12" applyAlignment="1" pivotButton="0" quotePrefix="0" xfId="0">
      <alignment vertical="top" wrapText="1"/>
    </xf>
    <xf numFmtId="167" fontId="0" fillId="34" borderId="12" applyAlignment="1" pivotButton="0" quotePrefix="0" xfId="0">
      <alignment vertical="top" wrapText="1"/>
    </xf>
  </cellXfs>
  <cellStyles count="1">
    <cellStyle name="Normal" xfId="0" builtinId="0"/>
  </cellStyles>
  <dxfs count="33"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8CCE4"/>
          <bgColor rgb="FFB8CCE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stacked"/>
        <varyColors val="1"/>
        <ser>
          <idx val="0"/>
          <order val="0"/>
          <tx>
            <v>NGÀY BẮT ĐẦU</v>
          </tx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'VD MẪU DASHBOARD BÁO CÁO DỰ ÁN'!$D$11:$D$22</f>
              <strCache>
                <ptCount val="12"/>
                <pt idx="0">
                  <v>Lên lịch họp khởi động dự án</v>
                </pt>
                <pt idx="1">
                  <v>Thống nhất mục tiêu</v>
                </pt>
                <pt idx="2">
                  <v>Yêu cầu chi tiết</v>
                </pt>
                <pt idx="3">
                  <v>Yêu cầu phần cứng</v>
                </pt>
                <pt idx="4">
                  <v>Kế hoạch nguồn lực cuối cùng</v>
                </pt>
                <pt idx="5">
                  <v>Nhân sự</v>
                </pt>
                <pt idx="6">
                  <v>Yêu cầu kỹ thuật</v>
                </pt>
                <pt idx="7">
                  <v>Testing</v>
                </pt>
                <pt idx="8">
                  <v>Dev. Complete</v>
                </pt>
                <pt idx="9">
                  <v>Cấu hình phần cứng</v>
                </pt>
                <pt idx="10">
                  <v>Thử nghiệm hệ thống</v>
                </pt>
                <pt idx="11">
                  <v>Ra mắt sản phẩm</v>
                </pt>
              </strCache>
            </strRef>
          </cat>
          <val>
            <numRef>
              <f>'VD MẪU DASHBOARD BÁO CÁO DỰ ÁN'!$F$11:$F$22</f>
              <numCache>
                <formatCode>mm/dd</formatCode>
                <ptCount val="12"/>
                <pt idx="0">
                  <v>45293</v>
                </pt>
                <pt idx="1">
                  <v>45295</v>
                </pt>
                <pt idx="2">
                  <v>45298</v>
                </pt>
                <pt idx="3">
                  <v>45301</v>
                </pt>
                <pt idx="4">
                  <v>45304</v>
                </pt>
                <pt idx="5">
                  <v>45307</v>
                </pt>
                <pt idx="6">
                  <v>45310</v>
                </pt>
                <pt idx="7">
                  <v>45313</v>
                </pt>
                <pt idx="8">
                  <v>45316</v>
                </pt>
                <pt idx="9">
                  <v>45319</v>
                </pt>
                <pt idx="10">
                  <v>45322</v>
                </pt>
                <pt idx="11">
                  <v>45326</v>
                </pt>
              </numCache>
            </numRef>
          </val>
        </ser>
        <ser>
          <idx val="1"/>
          <order val="1"/>
          <tx>
            <v>KHOẢNG THỜI GIAN</v>
          </tx>
          <spPr>
            <a:solidFill xmlns:a="http://schemas.openxmlformats.org/drawingml/2006/main">
              <a:srgbClr val="03C15A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1"/>
            <invertIfNegative val="1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'VD MẪU DASHBOARD BÁO CÁO DỰ ÁN'!$D$11:$D$22</f>
              <strCache>
                <ptCount val="12"/>
                <pt idx="0">
                  <v>Lên lịch họp khởi động dự án</v>
                </pt>
                <pt idx="1">
                  <v>Thống nhất mục tiêu</v>
                </pt>
                <pt idx="2">
                  <v>Yêu cầu chi tiết</v>
                </pt>
                <pt idx="3">
                  <v>Yêu cầu phần cứng</v>
                </pt>
                <pt idx="4">
                  <v>Kế hoạch nguồn lực cuối cùng</v>
                </pt>
                <pt idx="5">
                  <v>Nhân sự</v>
                </pt>
                <pt idx="6">
                  <v>Yêu cầu kỹ thuật</v>
                </pt>
                <pt idx="7">
                  <v>Testing</v>
                </pt>
                <pt idx="8">
                  <v>Dev. Complete</v>
                </pt>
                <pt idx="9">
                  <v>Cấu hình phần cứng</v>
                </pt>
                <pt idx="10">
                  <v>Thử nghiệm hệ thống</v>
                </pt>
                <pt idx="11">
                  <v>Ra mắt sản phẩm</v>
                </pt>
              </strCache>
            </strRef>
          </cat>
          <val>
            <numRef>
              <f>'VD MẪU DASHBOARD BÁO CÁO DỰ ÁN'!$H$11:$H$22</f>
              <numCache>
                <formatCode>0</formatCode>
                <ptCount val="12"/>
                <pt idx="0">
                  <v>6</v>
                </pt>
                <pt idx="1">
                  <v>7</v>
                </pt>
                <pt idx="2">
                  <v>4</v>
                </pt>
                <pt idx="3">
                  <v>5</v>
                </pt>
                <pt idx="4">
                  <v>7</v>
                </pt>
                <pt idx="5">
                  <v>13</v>
                </pt>
                <pt idx="6">
                  <v>13</v>
                </pt>
                <pt idx="7">
                  <v>18</v>
                </pt>
                <pt idx="8">
                  <v>11</v>
                </pt>
                <pt idx="9">
                  <v>9</v>
                </pt>
                <pt idx="10">
                  <v>2</v>
                </pt>
                <pt idx="1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63524563"/>
        <axId val="1228377233"/>
      </barChart>
      <catAx>
        <axId val="146352456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228377233"/>
        <crosses val="autoZero"/>
        <auto val="1"/>
        <lblAlgn val="ctr"/>
        <lblOffset val="100"/>
        <noMultiLvlLbl val="1"/>
      </catAx>
      <valAx>
        <axId val="1228377233"/>
        <scaling>
          <orientation val="minMax"/>
          <min val="4529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m/dd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463524563"/>
        <crosses val="max"/>
        <crossBetween val="between"/>
        <majorUnit val="5"/>
      </valAx>
    </plotArea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TÌNH TRẠNG NHIỆM VỤ%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81D6F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D2D2D2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'VD MẪU DASHBOARD BÁO CÁO DỰ ÁN'!$D$26:$D$30</f>
              <strCache>
                <ptCount val="5"/>
                <pt idx="0">
                  <v>Not Started (Chưa bắt đầu)</v>
                </pt>
                <pt idx="1">
                  <v>In Progress (Đang làm)</v>
                </pt>
                <pt idx="2">
                  <v>Complete (Hoàn thiện)</v>
                </pt>
                <pt idx="3">
                  <v>Overdue (Qúa hạn)</v>
                </pt>
                <pt idx="4">
                  <v>On Hold (Đang chờ)</v>
                </pt>
              </strCache>
            </strRef>
          </cat>
          <val>
            <numRef>
              <f>'VD MẪU DASHBOARD BÁO CÁO DỰ ÁN'!$E$26:$E$30</f>
              <numCache>
                <formatCode>0</formatCode>
                <ptCount val="5"/>
                <pt idx="0">
                  <v>2</v>
                </pt>
                <pt idx="1">
                  <v>3</v>
                </pt>
                <pt idx="2">
                  <v>4</v>
                </pt>
                <pt idx="3">
                  <v>2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1" i="0">
              <a:solidFill>
                <a:srgbClr val="1A1A1A"/>
              </a:solidFill>
              <a:latin typeface="Century Gothic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 xml:space="preserve">NGÂN SÁCH
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546591127328596"/>
          <y val="0.2936434195725534"/>
          <w val="0.77391415402343"/>
          <h val="0.5373824521934758"/>
        </manualLayout>
      </layout>
      <barChart>
        <barDir val="bar"/>
        <grouping val="stack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'VD MẪU DASHBOARD BÁO CÁO DỰ ÁN'!$H$25:$H$26</f>
              <strCache>
                <ptCount val="2"/>
                <pt idx="0">
                  <v>DỰ KIẾN</v>
                </pt>
                <pt idx="1">
                  <v>THỰC TẾ</v>
                </pt>
              </strCache>
            </strRef>
          </cat>
          <val>
            <numRef>
              <f>'VD MẪU DASHBOARD BÁO CÁO DỰ ÁN'!$I$25:$I$26</f>
              <numCache>
                <formatCode>#,##0</formatCode>
                <ptCount val="2"/>
                <pt idx="0">
                  <v>80000</v>
                </pt>
                <pt idx="1">
                  <v>50000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48071363"/>
        <axId val="1994609468"/>
      </barChart>
      <catAx>
        <axId val="94807136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994609468"/>
        <crosses val="autoZero"/>
        <auto val="1"/>
        <lblAlgn val="ctr"/>
        <lblOffset val="100"/>
        <noMultiLvlLbl val="1"/>
      </catAx>
      <valAx>
        <axId val="1994609468"/>
        <scaling>
          <orientation val="minMax"/>
          <max val="9000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#,##0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948071363"/>
        <crosses val="max"/>
        <crossBetween val="between"/>
        <majorUnit val="10000"/>
        <minorUnit val="5000"/>
      </valAx>
    </plotArea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CÁC MỤC ĐANG CHỜ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FF66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'VD MẪU DASHBOARD BÁO CÁO DỰ ÁN'!$H$34:$H$36</f>
              <strCache>
                <ptCount val="3"/>
                <pt idx="0">
                  <v>Decisions</v>
                </pt>
                <pt idx="1">
                  <v>Actions</v>
                </pt>
                <pt idx="2">
                  <v xml:space="preserve">Change Requests </v>
                </pt>
              </strCache>
            </strRef>
          </cat>
          <val>
            <numRef>
              <f>'VD MẪU DASHBOARD BÁO CÁO DỰ ÁN'!$I$34:$I$36</f>
              <numCache>
                <formatCode>#,##0</formatCode>
                <ptCount val="3"/>
                <pt idx="0">
                  <v>5</v>
                </pt>
                <pt idx="1">
                  <v>2</v>
                </pt>
                <pt idx="2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803173"/>
        <axId val="2045995051"/>
      </barChart>
      <catAx>
        <axId val="1080317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2045995051"/>
        <crosses val="autoZero"/>
        <auto val="1"/>
        <lblAlgn val="ctr"/>
        <lblOffset val="100"/>
        <noMultiLvlLbl val="1"/>
      </catAx>
      <valAx>
        <axId val="204599505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#,##0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0803173"/>
        <crosses val="autoZero"/>
        <crossBetween val="between"/>
      </valAx>
    </plotArea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vi-VN" b="1" i="0">
                <a:solidFill>
                  <a:srgbClr val="757575"/>
                </a:solidFill>
                <a:latin typeface="Century Gothic"/>
              </a:rPr>
              <a:t>MỨC ƯU TIÊN NHIỆM VỤ %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'VD MẪU DASHBOARD BÁO CÁO DỰ ÁN'!$D$35:$D$38</f>
              <strCache>
                <ptCount val="3"/>
                <pt idx="0">
                  <v>High</v>
                </pt>
                <pt idx="1">
                  <v>Medium</v>
                </pt>
                <pt idx="2">
                  <v>Low</v>
                </pt>
              </strCache>
            </strRef>
          </cat>
          <val>
            <numRef>
              <f>'VD MẪU DASHBOARD BÁO CÁO DỰ ÁN'!$E$35:$E$38</f>
              <numCache>
                <formatCode>0</formatCode>
                <ptCount val="4"/>
                <pt idx="0">
                  <v>7</v>
                </pt>
                <pt idx="1">
                  <v>2</v>
                </pt>
                <pt idx="2">
                  <v>3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1" i="0">
              <a:solidFill>
                <a:srgbClr val="1A1A1A"/>
              </a:solidFill>
              <a:latin typeface="Century Gothic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plotArea>
      <layout/>
      <barChart>
        <barDir val="bar"/>
        <grouping val="stacked"/>
        <varyColors val="1"/>
        <ser>
          <idx val="0"/>
          <order val="0"/>
          <tx>
            <v>NGÀY BẮT ĐẦU</v>
          </tx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'MẪU DASHBOARD BÁO CÁO DỰ ÁN'!$D$11:$D$30</f>
              <strCache>
                <ptCount val="20"/>
                <pt idx="0">
                  <v>Task 1</v>
                </pt>
                <pt idx="1">
                  <v>Task 2</v>
                </pt>
                <pt idx="2">
                  <v>Task 3</v>
                </pt>
                <pt idx="3">
                  <v>Task 4</v>
                </pt>
                <pt idx="4">
                  <v>Task 5</v>
                </pt>
                <pt idx="5">
                  <v>Task 6</v>
                </pt>
                <pt idx="6">
                  <v>Task 7</v>
                </pt>
                <pt idx="7">
                  <v>Task 8</v>
                </pt>
                <pt idx="8">
                  <v>Task 9</v>
                </pt>
                <pt idx="9">
                  <v>Task 10</v>
                </pt>
                <pt idx="10">
                  <v>Task 11</v>
                </pt>
                <pt idx="11">
                  <v>Task 12</v>
                </pt>
                <pt idx="12">
                  <v>Task 13</v>
                </pt>
                <pt idx="13">
                  <v>Task 14</v>
                </pt>
                <pt idx="14">
                  <v>Task 15</v>
                </pt>
                <pt idx="15">
                  <v>Task 16</v>
                </pt>
                <pt idx="16">
                  <v>Task 17</v>
                </pt>
                <pt idx="17">
                  <v>Task 18</v>
                </pt>
                <pt idx="18">
                  <v>Task 19</v>
                </pt>
                <pt idx="19">
                  <v>Task 20</v>
                </pt>
              </strCache>
            </strRef>
          </cat>
          <val>
            <numRef>
              <f>'MẪU DASHBOARD BÁO CÁO DỰ ÁN'!$F$11:$F$30</f>
              <numCache>
                <formatCode>mm/dd</formatCode>
                <ptCount val="20"/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invertIfNegative val="1"/>
          <cat>
            <strRef>
              <f>'MẪU DASHBOARD BÁO CÁO DỰ ÁN'!$D$11:$D$30</f>
              <strCache>
                <ptCount val="20"/>
                <pt idx="0">
                  <v>Task 1</v>
                </pt>
                <pt idx="1">
                  <v>Task 2</v>
                </pt>
                <pt idx="2">
                  <v>Task 3</v>
                </pt>
                <pt idx="3">
                  <v>Task 4</v>
                </pt>
                <pt idx="4">
                  <v>Task 5</v>
                </pt>
                <pt idx="5">
                  <v>Task 6</v>
                </pt>
                <pt idx="6">
                  <v>Task 7</v>
                </pt>
                <pt idx="7">
                  <v>Task 8</v>
                </pt>
                <pt idx="8">
                  <v>Task 9</v>
                </pt>
                <pt idx="9">
                  <v>Task 10</v>
                </pt>
                <pt idx="10">
                  <v>Task 11</v>
                </pt>
                <pt idx="11">
                  <v>Task 12</v>
                </pt>
                <pt idx="12">
                  <v>Task 13</v>
                </pt>
                <pt idx="13">
                  <v>Task 14</v>
                </pt>
                <pt idx="14">
                  <v>Task 15</v>
                </pt>
                <pt idx="15">
                  <v>Task 16</v>
                </pt>
                <pt idx="16">
                  <v>Task 17</v>
                </pt>
                <pt idx="17">
                  <v>Task 18</v>
                </pt>
                <pt idx="18">
                  <v>Task 19</v>
                </pt>
                <pt idx="19">
                  <v>Task 20</v>
                </pt>
              </strCache>
            </strRef>
          </cat>
          <val>
            <numRef>
              <f>'MẪU DASHBOARD BÁO CÁO DỰ ÁN'!$H$10:$H$30</f>
              <numCache>
                <formatCode>0</formatCode>
                <ptCount val="21"/>
                <pt idx="0">
                  <formatCode>General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748420210"/>
        <axId val="2136931405"/>
      </barChart>
      <catAx>
        <axId val="174842021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2136931405"/>
        <crosses val="autoZero"/>
        <auto val="1"/>
        <lblAlgn val="ctr"/>
        <lblOffset val="100"/>
        <noMultiLvlLbl val="1"/>
      </catAx>
      <valAx>
        <axId val="2136931405"/>
        <scaling>
          <orientation val="minMax"/>
          <min val="4529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mm/dd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748420210"/>
        <crosses val="max"/>
        <crossBetween val="between"/>
        <majorUnit val="5"/>
      </valAx>
    </plotArea>
    <plotVisOnly val="1"/>
    <dispBlanksAs val="zero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TÌNH TRẠNG NHIỆM VỤ %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81D6F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D2D2D2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'MẪU DASHBOARD BÁO CÁO DỰ ÁN'!$D$34:$D$38</f>
              <strCache>
                <ptCount val="5"/>
                <pt idx="0">
                  <v>Not Started (Chưa bắt đầu)</v>
                </pt>
                <pt idx="1">
                  <v>In Progress (Đang làm)</v>
                </pt>
                <pt idx="2">
                  <v>Complete (Hoàn thiện)</v>
                </pt>
                <pt idx="3">
                  <v>Overdue (Qúa hạn)</v>
                </pt>
                <pt idx="4">
                  <v>On Hold (Đang chờ)</v>
                </pt>
              </strCache>
            </strRef>
          </cat>
          <val>
            <numRef>
              <f>'MẪU DASHBOARD BÁO CÁO DỰ ÁN'!$E$34:$E$38</f>
              <numCache>
                <formatCode>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1" i="0">
              <a:solidFill>
                <a:srgbClr val="1A1A1A"/>
              </a:solidFill>
              <a:latin typeface="Century Gothic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 xml:space="preserve">NGÂN SÁCH
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546591127328596"/>
          <y val="0.2936434195725534"/>
          <w val="0.77391415402343"/>
          <h val="0.5373824521934758"/>
        </manualLayout>
      </layout>
      <barChart>
        <barDir val="bar"/>
        <grouping val="stacked"/>
        <varyColors val="1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'MẪU DASHBOARD BÁO CÁO DỰ ÁN'!$H$33:$H$34</f>
              <strCache>
                <ptCount val="2"/>
                <pt idx="0">
                  <v>DỰ KIẾN</v>
                </pt>
                <pt idx="1">
                  <v>THỰC TẾ</v>
                </pt>
              </strCache>
            </strRef>
          </cat>
          <val>
            <numRef>
              <f>'MẪU DASHBOARD BÁO CÁO DỰ ÁN'!$I$33:$I$34</f>
              <numCache>
                <formatCode>#,##0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830737"/>
        <axId val="865950429"/>
      </barChart>
      <catAx>
        <axId val="206830737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865950429"/>
        <crosses val="autoZero"/>
        <auto val="1"/>
        <lblAlgn val="ctr"/>
        <lblOffset val="100"/>
        <noMultiLvlLbl val="1"/>
      </catAx>
      <valAx>
        <axId val="865950429"/>
        <scaling>
          <orientation val="minMax"/>
          <max val="90000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rich>
          </tx>
          <overlay val="0"/>
        </title>
        <numFmt formatCode="#,##0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206830737"/>
        <crosses val="max"/>
        <crossBetween val="between"/>
        <majorUnit val="10000"/>
        <minorUnit val="5000"/>
      </valAx>
    </plotArea>
    <plotVisOnly val="1"/>
    <dispBlanksAs val="zero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 xml:space="preserve">CÁC MỤC ĐANG CHỜ  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spPr>
            <a:solidFill xmlns:a="http://schemas.openxmlformats.org/drawingml/2006/main">
              <a:srgbClr val="FF66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00B0F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00BD32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'MẪU DASHBOARD BÁO CÁO DỰ ÁN'!$H$42:$H$44</f>
              <strCache>
                <ptCount val="3"/>
                <pt idx="0">
                  <v>Decisions</v>
                </pt>
                <pt idx="1">
                  <v>Actions</v>
                </pt>
                <pt idx="2">
                  <v xml:space="preserve">Change Requests </v>
                </pt>
              </strCache>
            </strRef>
          </cat>
          <val>
            <numRef>
              <f>'MẪU DASHBOARD BÁO CÁO DỰ ÁN'!$I$42:$I$44</f>
              <numCache>
                <formatCode>#,##0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51637994"/>
        <axId val="1524100878"/>
      </barChart>
      <catAx>
        <axId val="105163799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524100878"/>
        <crosses val="autoZero"/>
        <auto val="1"/>
        <lblAlgn val="ctr"/>
        <lblOffset val="100"/>
        <noMultiLvlLbl val="1"/>
      </catAx>
      <valAx>
        <axId val="152410087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rich>
          </tx>
          <overlay val="0"/>
        </title>
        <numFmt formatCode="#,##0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000000"/>
                </a:solidFill>
                <a:latin typeface="Century Gothic"/>
              </a:defRPr>
            </a:pPr>
            <a:r>
              <a:t>None</a:t>
            </a:r>
            <a:endParaRPr lang="en-US"/>
          </a:p>
        </txPr>
        <crossAx val="1051637994"/>
        <crosses val="autoZero"/>
        <crossBetween val="between"/>
      </valAx>
    </plotArea>
    <plotVisOnly val="1"/>
    <dispBlanksAs val="zero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vi-VN" b="1" i="0">
                <a:solidFill>
                  <a:srgbClr val="757575"/>
                </a:solidFill>
                <a:latin typeface="Century Gothic"/>
              </a:rPr>
              <a:t>MỨC ĐỘ ƯU TIÊN NHIỆM VỤ %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'MẪU DASHBOARD BÁO CÁO DỰ ÁN'!$D$43:$D$46</f>
              <strCache>
                <ptCount val="3"/>
                <pt idx="0">
                  <v>High</v>
                </pt>
                <pt idx="1">
                  <v>Medium</v>
                </pt>
                <pt idx="2">
                  <v>Low</v>
                </pt>
              </strCache>
            </strRef>
          </cat>
          <val>
            <numRef>
              <f>'MẪU DASHBOARD BÁO CÁO DỰ ÁN'!$E$43:$E$46</f>
              <numCache>
                <formatCode>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400" b="1" i="0">
              <a:solidFill>
                <a:srgbClr val="1A1A1A"/>
              </a:solidFill>
              <a:latin typeface="Century Gothic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Tình trạng nhiệm vụ</a:t>
            </a:r>
          </a:p>
        </rich>
      </tx>
    </title>
    <plotArea>
      <doughnutChart>
        <varyColors val="1"/>
        <ser>
          <idx val="0"/>
          <order val="0"/>
          <tx>
            <strRef>
              <f>'Pet Service Dashboard'!C38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Dashboard'!$B$39</f>
            </numRef>
          </cat>
          <val>
            <numRef>
              <f>'Pet Service Dashboard'!$C$39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Story point theo thành viên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'Pet Service Dashboard'!I38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Dashboard'!$H$39:$H$43</f>
            </numRef>
          </cat>
          <val>
            <numRef>
              <f>'Pet Service Dashboard'!$I$39:$I$43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Story point theo sprint</a:t>
            </a:r>
          </a:p>
        </rich>
      </tx>
    </title>
    <plotArea>
      <lineChart>
        <grouping val="standard"/>
        <ser>
          <idx val="0"/>
          <order val="0"/>
          <tx>
            <strRef>
              <f>'Pet Service Dashboard'!N38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'Pet Service Dashboard'!$K$39:$K$44</f>
            </numRef>
          </cat>
          <val>
            <numRef>
              <f>'Pet Service Dashboard'!$N$39:$N$44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Mức độ ưu tiên</a:t>
            </a:r>
          </a:p>
        </rich>
      </tx>
    </title>
    <plotArea>
      <pieChart>
        <varyColors val="1"/>
        <ser>
          <idx val="0"/>
          <order val="0"/>
          <tx>
            <strRef>
              <f>'Pet Service Dashboard'!F38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Dashboard'!$E$39:$E$41</f>
            </numRef>
          </cat>
          <val>
            <numRef>
              <f>'Pet Service Dashboard'!$F$39:$F$41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Code vs Docs/Demo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'Pet Service Dashboard'!Q38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Service Dashboard'!$P$39:$P$40</f>
            </numRef>
          </cat>
          <val>
            <numRef>
              <f>'Pet Service Dashboard'!$Q$39:$Q$40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/Relationships>
</file>

<file path=xl/drawings/drawing1.xml><?xml version="1.0" encoding="utf-8"?>
<wsDr xmlns="http://schemas.openxmlformats.org/drawingml/2006/spreadsheetDrawing">
  <oneCellAnchor>
    <from>
      <col>3</col>
      <colOff>38100</colOff>
      <row>4</row>
      <rowOff>114300</rowOff>
    </from>
    <ext cx="17935575" cy="4924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38100</colOff>
      <row>4</row>
      <rowOff>5162550</rowOff>
    </from>
    <ext cx="5457825" cy="41148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9</col>
      <colOff>495300</colOff>
      <row>4</row>
      <rowOff>5162550</rowOff>
    </from>
    <ext cx="5238750" cy="178117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9</col>
      <colOff>438150</colOff>
      <row>5</row>
      <rowOff>1924050</rowOff>
    </from>
    <ext cx="5381625" cy="2247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5</col>
      <colOff>381000</colOff>
      <row>4</row>
      <rowOff>5162550</rowOff>
    </from>
    <ext cx="5534025" cy="41148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38100</colOff>
      <row>4</row>
      <rowOff>114300</rowOff>
    </from>
    <ext cx="17935575" cy="49244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38100</colOff>
      <row>4</row>
      <rowOff>5162550</rowOff>
    </from>
    <ext cx="5457825" cy="41148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9</col>
      <colOff>495300</colOff>
      <row>4</row>
      <rowOff>5162550</rowOff>
    </from>
    <ext cx="5238750" cy="178117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9</col>
      <colOff>438150</colOff>
      <row>5</row>
      <rowOff>1924050</rowOff>
    </from>
    <ext cx="5381625" cy="2247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5</col>
      <colOff>381000</colOff>
      <row>4</row>
      <rowOff>5162550</rowOff>
    </from>
    <ext cx="5534025" cy="41148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46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62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62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44546A"/>
    <outlinePr summaryBelow="1" summaryRight="1"/>
    <pageSetUpPr fitToPage="1"/>
  </sheetPr>
  <dimension ref="A1:AI1000"/>
  <sheetViews>
    <sheetView showGridLines="0" workbookViewId="0">
      <pane ySplit="1" topLeftCell="A68" activePane="bottomLeft" state="frozen"/>
      <selection pane="bottomLeft" activeCell="B39" sqref="B39"/>
    </sheetView>
  </sheetViews>
  <sheetFormatPr baseColWidth="8" defaultColWidth="10.08984375" defaultRowHeight="15" customHeight="1"/>
  <cols>
    <col width="3.453125" customWidth="1" min="1" max="3"/>
    <col width="35.7265625" customWidth="1" min="4" max="4"/>
    <col width="20.7265625" customWidth="1" min="5" max="5"/>
    <col width="10.7265625" customWidth="1" min="6" max="7"/>
    <col width="17.7265625" customWidth="1" min="8" max="8"/>
    <col width="20.7265625" customWidth="1" min="9" max="10"/>
    <col width="50.7265625" customWidth="1" min="11" max="11"/>
    <col width="3.453125" customWidth="1" min="12" max="12"/>
    <col width="12.7265625" customWidth="1" min="13" max="13"/>
    <col width="3.453125" customWidth="1" min="14" max="14"/>
    <col width="12.7265625" customWidth="1" min="15" max="15"/>
    <col width="3.453125" customWidth="1" min="16" max="16"/>
    <col width="11" customWidth="1" min="17" max="19"/>
    <col width="9" customWidth="1" min="20" max="20"/>
    <col width="11" customWidth="1" min="21" max="35"/>
  </cols>
  <sheetData>
    <row r="1" ht="45" customHeight="1">
      <c r="A1" s="1" t="n"/>
      <c r="B1" s="1" t="n"/>
      <c r="C1" s="1" t="n"/>
      <c r="D1" s="2" t="inlineStr">
        <is>
          <t>MẪU DASHBOARD BÁO CÁO DỰ ÁN</t>
        </is>
      </c>
      <c r="E1" s="3" t="n"/>
      <c r="F1" s="3" t="n"/>
      <c r="G1" s="3" t="n"/>
      <c r="H1" s="3" t="n"/>
      <c r="I1" s="3" t="n"/>
      <c r="J1" s="3" t="n"/>
      <c r="K1" s="3" t="n"/>
      <c r="L1" s="1" t="n"/>
      <c r="M1" s="3" t="n"/>
      <c r="N1" s="1" t="n"/>
      <c r="O1" s="3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24.75" customHeight="1">
      <c r="A2" s="5" t="n"/>
      <c r="B2" s="5" t="n"/>
      <c r="C2" s="5" t="n"/>
      <c r="D2" s="6" t="inlineStr">
        <is>
          <t>TÊN DỰ ÁN</t>
        </is>
      </c>
      <c r="E2" s="7" t="n"/>
      <c r="F2" s="6" t="n"/>
      <c r="G2" s="6" t="n"/>
      <c r="H2" s="8" t="inlineStr">
        <is>
          <t>NGÀY</t>
        </is>
      </c>
      <c r="I2" s="9" t="inlineStr">
        <is>
          <t>TRẠNG THÁI DỰ ÁN</t>
        </is>
      </c>
      <c r="J2" s="8" t="inlineStr">
        <is>
          <t>% HOÀN THIỆN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10" t="n"/>
      <c r="AF2" s="10" t="n"/>
      <c r="AG2" s="10" t="n"/>
      <c r="AH2" s="10" t="n"/>
      <c r="AI2" s="10" t="n"/>
    </row>
    <row r="3" ht="34.5" customHeight="1">
      <c r="A3" s="1" t="n"/>
      <c r="B3" s="1" t="n"/>
      <c r="C3" s="1" t="n"/>
      <c r="D3" s="11" t="n"/>
      <c r="E3" s="12" t="n"/>
      <c r="F3" s="12" t="n"/>
      <c r="G3" s="13" t="n"/>
      <c r="H3" s="14" t="inlineStr">
        <is>
          <t>00/00/00</t>
        </is>
      </c>
      <c r="I3" s="15" t="n"/>
      <c r="J3" s="16" t="n">
        <v>0.72</v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4" t="n"/>
      <c r="AF3" s="4" t="n"/>
      <c r="AG3" s="4" t="n"/>
      <c r="AH3" s="4" t="n"/>
      <c r="AI3" s="4" t="n"/>
    </row>
    <row r="4" ht="34.5" customHeight="1">
      <c r="A4" s="1" t="n"/>
      <c r="B4" s="1" t="n"/>
      <c r="C4" s="1" t="n"/>
      <c r="D4" s="17" t="inlineStr">
        <is>
          <t>TASK TIMELINE</t>
        </is>
      </c>
      <c r="E4" s="18" t="n"/>
      <c r="F4" s="18" t="n"/>
      <c r="G4" s="18" t="n"/>
      <c r="H4" s="19" t="n"/>
      <c r="I4" s="20" t="n"/>
      <c r="J4" s="2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4" t="n"/>
      <c r="AF4" s="4" t="n"/>
      <c r="AG4" s="4" t="n"/>
      <c r="AH4" s="4" t="n"/>
      <c r="AI4" s="4" t="n"/>
    </row>
    <row r="5" ht="408.7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4" t="n"/>
      <c r="AF5" s="4" t="n"/>
      <c r="AG5" s="4" t="n"/>
      <c r="AH5" s="4" t="n"/>
      <c r="AI5" s="4" t="n"/>
    </row>
    <row r="6" ht="322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4" t="n"/>
      <c r="AF6" s="4" t="n"/>
      <c r="AG6" s="4" t="n"/>
      <c r="AH6" s="4" t="n"/>
      <c r="AI6" s="4" t="n"/>
    </row>
    <row r="7" ht="12.7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4" t="n"/>
      <c r="AF7" s="4" t="n"/>
      <c r="AG7" s="4" t="n"/>
      <c r="AH7" s="4" t="n"/>
      <c r="AI7" s="4" t="n"/>
    </row>
    <row r="8" ht="34.5" customHeight="1">
      <c r="A8" s="1" t="n"/>
      <c r="B8" s="1" t="n"/>
      <c r="C8" s="1" t="n"/>
      <c r="D8" s="22" t="inlineStr">
        <is>
          <t>DASHBOARD DATA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4" t="n"/>
      <c r="AF8" s="4" t="n"/>
      <c r="AG8" s="4" t="n"/>
      <c r="AH8" s="4" t="n"/>
      <c r="AI8" s="4" t="n"/>
    </row>
    <row r="9" ht="24.75" customHeight="1">
      <c r="A9" s="1" t="n"/>
      <c r="B9" s="1" t="n"/>
      <c r="C9" s="1" t="n"/>
      <c r="D9" s="23" t="inlineStr">
        <is>
          <t>TASK TABLE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34.5" customHeight="1">
      <c r="A10" s="24" t="n"/>
      <c r="B10" s="25" t="inlineStr">
        <is>
          <t>Level</t>
        </is>
      </c>
      <c r="C10" s="25" t="inlineStr">
        <is>
          <t>Task ID</t>
        </is>
      </c>
      <c r="D10" s="25" t="inlineStr">
        <is>
          <t>TASK NAME</t>
        </is>
      </c>
      <c r="E10" s="25" t="inlineStr">
        <is>
          <t>ASSIGNED TO</t>
        </is>
      </c>
      <c r="F10" s="26" t="inlineStr">
        <is>
          <t>NGÀY BẮT ĐẦU</t>
        </is>
      </c>
      <c r="G10" s="26" t="inlineStr">
        <is>
          <t>NGÀY KẾT THÚC</t>
        </is>
      </c>
      <c r="H10" s="27" t="inlineStr">
        <is>
          <t>KHOẢNG THỜI GIAN</t>
        </is>
      </c>
      <c r="I10" s="25" t="inlineStr">
        <is>
          <t>TÌNH TRẠNG</t>
        </is>
      </c>
      <c r="J10" s="25" t="inlineStr">
        <is>
          <t>MỨC ƯU TIÊN</t>
        </is>
      </c>
      <c r="K10" s="25" t="inlineStr">
        <is>
          <t>BÌNH LUẬN</t>
        </is>
      </c>
      <c r="L10" s="24" t="n"/>
      <c r="M10" s="25" t="inlineStr">
        <is>
          <t>TÌNH TRẠNG</t>
        </is>
      </c>
      <c r="N10" s="24" t="n"/>
      <c r="O10" s="25" t="inlineStr">
        <is>
          <t>MỨC ƯU TIÊN</t>
        </is>
      </c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</row>
    <row r="11" ht="22.5" customHeight="1">
      <c r="A11" s="24" t="n"/>
      <c r="B11" s="67" t="n">
        <v>2</v>
      </c>
      <c r="C11" s="68">
        <f>IF(B11="","",IF(B11&gt;OFFSET(B11,-1,0,1,1),IF(OFFSET(C11,-1,0,1,1)="","1",OFFSET(C11,-1,0,1,1))&amp;REPT(".1",B11-MAX(OFFSET(B11,-1,0,1,1),1)),IF(ISERROR(FIND(".",OFFSET(C11,-1,0,1,1))),REPT("1.",B11-1)&amp;IFERROR(VALUE(OFFSET(C11,-1,0,1,1))+1,"1"),IF(B11=1,"",IFERROR(LEFT(OFFSET(C11,-1,0,1,1),FIND("^",SUBSTITUTE(OFFSET(C11,-1,0,1,1),".","^",B11-1))),""))&amp;VALUE(TRIM(MID(SUBSTITUTE(OFFSET(C11,-1,0,1,1),".",REPT(" ",LEN(OFFSET(C11,-1,0,1,1)))),(B11-1)*LEN(OFFSET(C11,-1,0,1,1))+1,LEN(OFFSET(C11,-1,0,1,1)))))+1)))</f>
        <v/>
      </c>
      <c r="D11" s="28" t="inlineStr">
        <is>
          <t>Lên lịch họp khởi động dự án</t>
        </is>
      </c>
      <c r="E11" s="29" t="n"/>
      <c r="F11" s="30" t="n">
        <v>45293</v>
      </c>
      <c r="G11" s="30" t="n">
        <v>45299</v>
      </c>
      <c r="H11" s="31">
        <f>IF(F11=0,0,G11-F11)</f>
        <v/>
      </c>
      <c r="I11" s="29" t="inlineStr">
        <is>
          <t>Overdue</t>
        </is>
      </c>
      <c r="J11" s="29" t="inlineStr">
        <is>
          <t>High</t>
        </is>
      </c>
      <c r="K11" s="29" t="n"/>
      <c r="L11" s="32" t="n"/>
      <c r="M11" s="33" t="inlineStr">
        <is>
          <t>Not Started</t>
        </is>
      </c>
      <c r="N11" s="24" t="n"/>
      <c r="O11" s="34" t="inlineStr">
        <is>
          <t>High</t>
        </is>
      </c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</row>
    <row r="12" ht="22.5" customHeight="1">
      <c r="A12" s="24" t="n"/>
      <c r="B12" s="67" t="n">
        <v>2</v>
      </c>
      <c r="C12" s="68">
        <f>IF(B12="","",IF(B12&gt;OFFSET(B12,-1,0,1,1),IF(OFFSET(C12,-1,0,1,1)="","1",OFFSET(C12,-1,0,1,1))&amp;REPT(".1",B12-MAX(OFFSET(B12,-1,0,1,1),1)),IF(ISERROR(FIND(".",OFFSET(C12,-1,0,1,1))),REPT("1.",B12-1)&amp;IFERROR(VALUE(OFFSET(C12,-1,0,1,1))+1,"1"),IF(B12=1,"",IFERROR(LEFT(OFFSET(C12,-1,0,1,1),FIND("^",SUBSTITUTE(OFFSET(C12,-1,0,1,1),".","^",B12-1))),""))&amp;VALUE(TRIM(MID(SUBSTITUTE(OFFSET(C12,-1,0,1,1),".",REPT(" ",LEN(OFFSET(C12,-1,0,1,1)))),(B12-1)*LEN(OFFSET(C12,-1,0,1,1))+1,LEN(OFFSET(C12,-1,0,1,1)))))+1)))</f>
        <v/>
      </c>
      <c r="D12" s="28" t="inlineStr">
        <is>
          <t>Thống nhất mục tiêu</t>
        </is>
      </c>
      <c r="E12" s="35" t="n"/>
      <c r="F12" s="36" t="n">
        <v>45295</v>
      </c>
      <c r="G12" s="36" t="n">
        <v>45302</v>
      </c>
      <c r="H12" s="31">
        <f>IF(F12=0,0,G12-F12)</f>
        <v/>
      </c>
      <c r="I12" s="28" t="inlineStr">
        <is>
          <t>Complete</t>
        </is>
      </c>
      <c r="J12" s="28" t="inlineStr">
        <is>
          <t>Medium</t>
        </is>
      </c>
      <c r="K12" s="29" t="n"/>
      <c r="L12" s="32" t="n"/>
      <c r="M12" s="28" t="inlineStr">
        <is>
          <t>In Progress</t>
        </is>
      </c>
      <c r="N12" s="24" t="n"/>
      <c r="O12" s="37" t="inlineStr">
        <is>
          <t>Medium</t>
        </is>
      </c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</row>
    <row r="13" ht="22.5" customHeight="1">
      <c r="A13" s="24" t="n"/>
      <c r="B13" s="67" t="n">
        <v>2</v>
      </c>
      <c r="C13" s="68">
        <f>IF(B13="","",IF(B13&gt;OFFSET(B13,-1,0,1,1),IF(OFFSET(C13,-1,0,1,1)="","1",OFFSET(C13,-1,0,1,1))&amp;REPT(".1",B13-MAX(OFFSET(B13,-1,0,1,1),1)),IF(ISERROR(FIND(".",OFFSET(C13,-1,0,1,1))),REPT("1.",B13-1)&amp;IFERROR(VALUE(OFFSET(C13,-1,0,1,1))+1,"1"),IF(B13=1,"",IFERROR(LEFT(OFFSET(C13,-1,0,1,1),FIND("^",SUBSTITUTE(OFFSET(C13,-1,0,1,1),".","^",B13-1))),""))&amp;VALUE(TRIM(MID(SUBSTITUTE(OFFSET(C13,-1,0,1,1),".",REPT(" ",LEN(OFFSET(C13,-1,0,1,1)))),(B13-1)*LEN(OFFSET(C13,-1,0,1,1))+1,LEN(OFFSET(C13,-1,0,1,1)))))+1)))</f>
        <v/>
      </c>
      <c r="D13" s="28" t="inlineStr">
        <is>
          <t>Yêu cầu chi tiết</t>
        </is>
      </c>
      <c r="E13" s="35" t="n"/>
      <c r="F13" s="36" t="n">
        <v>45298</v>
      </c>
      <c r="G13" s="36" t="n">
        <v>45302</v>
      </c>
      <c r="H13" s="31">
        <f>IF(F13=0,0,G13-F13)</f>
        <v/>
      </c>
      <c r="I13" s="28" t="inlineStr">
        <is>
          <t>Complete</t>
        </is>
      </c>
      <c r="J13" s="28" t="inlineStr">
        <is>
          <t>Low</t>
        </is>
      </c>
      <c r="K13" s="29" t="n"/>
      <c r="L13" s="32" t="n"/>
      <c r="M13" s="28" t="inlineStr">
        <is>
          <t>Complete</t>
        </is>
      </c>
      <c r="N13" s="24" t="n"/>
      <c r="O13" s="38" t="inlineStr">
        <is>
          <t>Low</t>
        </is>
      </c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</row>
    <row r="14" ht="22.5" customHeight="1">
      <c r="A14" s="24" t="n"/>
      <c r="B14" s="67" t="n">
        <v>2</v>
      </c>
      <c r="C14" s="68">
        <f>IF(B14="","",IF(B14&gt;OFFSET(B14,-1,0,1,1),IF(OFFSET(C14,-1,0,1,1)="","1",OFFSET(C14,-1,0,1,1))&amp;REPT(".1",B14-MAX(OFFSET(B14,-1,0,1,1),1)),IF(ISERROR(FIND(".",OFFSET(C14,-1,0,1,1))),REPT("1.",B14-1)&amp;IFERROR(VALUE(OFFSET(C14,-1,0,1,1))+1,"1"),IF(B14=1,"",IFERROR(LEFT(OFFSET(C14,-1,0,1,1),FIND("^",SUBSTITUTE(OFFSET(C14,-1,0,1,1),".","^",B14-1))),""))&amp;VALUE(TRIM(MID(SUBSTITUTE(OFFSET(C14,-1,0,1,1),".",REPT(" ",LEN(OFFSET(C14,-1,0,1,1)))),(B14-1)*LEN(OFFSET(C14,-1,0,1,1))+1,LEN(OFFSET(C14,-1,0,1,1)))))+1)))</f>
        <v/>
      </c>
      <c r="D14" s="28" t="inlineStr">
        <is>
          <t>Yêu cầu phần cứng</t>
        </is>
      </c>
      <c r="E14" s="39" t="n"/>
      <c r="F14" s="36" t="n">
        <v>45301</v>
      </c>
      <c r="G14" s="36" t="n">
        <v>45306</v>
      </c>
      <c r="H14" s="31">
        <f>IF(F14=0,0,G14-F14)</f>
        <v/>
      </c>
      <c r="I14" s="28" t="inlineStr">
        <is>
          <t>Complete</t>
        </is>
      </c>
      <c r="J14" s="28" t="inlineStr">
        <is>
          <t>Low</t>
        </is>
      </c>
      <c r="K14" s="29" t="n"/>
      <c r="L14" s="32" t="n"/>
      <c r="M14" s="39" t="inlineStr">
        <is>
          <t>Overdue</t>
        </is>
      </c>
      <c r="N14" s="24" t="n"/>
      <c r="O14" s="39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</row>
    <row r="15" ht="22.5" customHeight="1">
      <c r="A15" s="24" t="n"/>
      <c r="B15" s="67" t="n">
        <v>2</v>
      </c>
      <c r="C15" s="68">
        <f>IF(B15="","",IF(B15&gt;OFFSET(B15,-1,0,1,1),IF(OFFSET(C15,-1,0,1,1)="","1",OFFSET(C15,-1,0,1,1))&amp;REPT(".1",B15-MAX(OFFSET(B15,-1,0,1,1),1)),IF(ISERROR(FIND(".",OFFSET(C15,-1,0,1,1))),REPT("1.",B15-1)&amp;IFERROR(VALUE(OFFSET(C15,-1,0,1,1))+1,"1"),IF(B15=1,"",IFERROR(LEFT(OFFSET(C15,-1,0,1,1),FIND("^",SUBSTITUTE(OFFSET(C15,-1,0,1,1),".","^",B15-1))),""))&amp;VALUE(TRIM(MID(SUBSTITUTE(OFFSET(C15,-1,0,1,1),".",REPT(" ",LEN(OFFSET(C15,-1,0,1,1)))),(B15-1)*LEN(OFFSET(C15,-1,0,1,1))+1,LEN(OFFSET(C15,-1,0,1,1)))))+1)))</f>
        <v/>
      </c>
      <c r="D15" s="28" t="inlineStr">
        <is>
          <t>Kế hoạch nguồn lực cuối cùng</t>
        </is>
      </c>
      <c r="E15" s="35" t="n"/>
      <c r="F15" s="36" t="n">
        <v>45304</v>
      </c>
      <c r="G15" s="36" t="n">
        <v>45311</v>
      </c>
      <c r="H15" s="31">
        <f>IF(F15=0,0,G15-F15)</f>
        <v/>
      </c>
      <c r="I15" s="28" t="inlineStr">
        <is>
          <t>Complete</t>
        </is>
      </c>
      <c r="J15" s="28" t="inlineStr">
        <is>
          <t>Low</t>
        </is>
      </c>
      <c r="K15" s="29" t="n"/>
      <c r="L15" s="24" t="n"/>
      <c r="M15" s="39" t="inlineStr">
        <is>
          <t>On Hold</t>
        </is>
      </c>
      <c r="N15" s="24" t="n"/>
      <c r="O15" s="1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</row>
    <row r="16" ht="22.5" customHeight="1">
      <c r="A16" s="24" t="n"/>
      <c r="B16" s="67" t="n">
        <v>2</v>
      </c>
      <c r="C16" s="68">
        <f>IF(B16="","",IF(B16&gt;OFFSET(B16,-1,0,1,1),IF(OFFSET(C16,-1,0,1,1)="","1",OFFSET(C16,-1,0,1,1))&amp;REPT(".1",B16-MAX(OFFSET(B16,-1,0,1,1),1)),IF(ISERROR(FIND(".",OFFSET(C16,-1,0,1,1))),REPT("1.",B16-1)&amp;IFERROR(VALUE(OFFSET(C16,-1,0,1,1))+1,"1"),IF(B16=1,"",IFERROR(LEFT(OFFSET(C16,-1,0,1,1),FIND("^",SUBSTITUTE(OFFSET(C16,-1,0,1,1),".","^",B16-1))),""))&amp;VALUE(TRIM(MID(SUBSTITUTE(OFFSET(C16,-1,0,1,1),".",REPT(" ",LEN(OFFSET(C16,-1,0,1,1)))),(B16-1)*LEN(OFFSET(C16,-1,0,1,1))+1,LEN(OFFSET(C16,-1,0,1,1)))))+1)))</f>
        <v/>
      </c>
      <c r="D16" s="28" t="inlineStr">
        <is>
          <t>Nhân sự</t>
        </is>
      </c>
      <c r="E16" s="35" t="n"/>
      <c r="F16" s="36" t="n">
        <v>45307</v>
      </c>
      <c r="G16" s="36" t="n">
        <v>45320</v>
      </c>
      <c r="H16" s="31">
        <f>IF(F16=0,0,G16-F16)</f>
        <v/>
      </c>
      <c r="I16" s="28" t="inlineStr">
        <is>
          <t>Overdue</t>
        </is>
      </c>
      <c r="J16" s="28" t="inlineStr">
        <is>
          <t>High</t>
        </is>
      </c>
      <c r="K16" s="29" t="n"/>
      <c r="L16" s="24" t="n"/>
      <c r="M16" s="1" t="n"/>
      <c r="N16" s="24" t="n"/>
      <c r="O16" s="1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</row>
    <row r="17" ht="22.5" customHeight="1">
      <c r="A17" s="24" t="n"/>
      <c r="B17" s="67" t="n">
        <v>2</v>
      </c>
      <c r="C17" s="68">
        <f>IF(B17="","",IF(B17&gt;OFFSET(B17,-1,0,1,1),IF(OFFSET(C17,-1,0,1,1)="","1",OFFSET(C17,-1,0,1,1))&amp;REPT(".1",B17-MAX(OFFSET(B17,-1,0,1,1),1)),IF(ISERROR(FIND(".",OFFSET(C17,-1,0,1,1))),REPT("1.",B17-1)&amp;IFERROR(VALUE(OFFSET(C17,-1,0,1,1))+1,"1"),IF(B17=1,"",IFERROR(LEFT(OFFSET(C17,-1,0,1,1),FIND("^",SUBSTITUTE(OFFSET(C17,-1,0,1,1),".","^",B17-1))),""))&amp;VALUE(TRIM(MID(SUBSTITUTE(OFFSET(C17,-1,0,1,1),".",REPT(" ",LEN(OFFSET(C17,-1,0,1,1)))),(B17-1)*LEN(OFFSET(C17,-1,0,1,1))+1,LEN(OFFSET(C17,-1,0,1,1)))))+1)))</f>
        <v/>
      </c>
      <c r="D17" s="28" t="inlineStr">
        <is>
          <t>Yêu cầu kỹ thuật</t>
        </is>
      </c>
      <c r="E17" s="40" t="n"/>
      <c r="F17" s="36" t="n">
        <v>45310</v>
      </c>
      <c r="G17" s="30" t="n">
        <v>45323</v>
      </c>
      <c r="H17" s="31">
        <f>IF(F17=0,0,G17-F17)</f>
        <v/>
      </c>
      <c r="I17" s="28" t="inlineStr">
        <is>
          <t>In Progress</t>
        </is>
      </c>
      <c r="J17" s="28" t="inlineStr">
        <is>
          <t>High</t>
        </is>
      </c>
      <c r="K17" s="29" t="n"/>
      <c r="L17" s="24" t="n"/>
      <c r="M17" s="1" t="n"/>
      <c r="N17" s="24" t="n"/>
      <c r="O17" s="1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</row>
    <row r="18" ht="22.5" customHeight="1">
      <c r="A18" s="24" t="n"/>
      <c r="B18" s="67" t="n">
        <v>2</v>
      </c>
      <c r="C18" s="68">
        <f>IF(B18="","",IF(B18&gt;OFFSET(B18,-1,0,1,1),IF(OFFSET(C18,-1,0,1,1)="","1",OFFSET(C18,-1,0,1,1))&amp;REPT(".1",B18-MAX(OFFSET(B18,-1,0,1,1),1)),IF(ISERROR(FIND(".",OFFSET(C18,-1,0,1,1))),REPT("1.",B18-1)&amp;IFERROR(VALUE(OFFSET(C18,-1,0,1,1))+1,"1"),IF(B18=1,"",IFERROR(LEFT(OFFSET(C18,-1,0,1,1),FIND("^",SUBSTITUTE(OFFSET(C18,-1,0,1,1),".","^",B18-1))),""))&amp;VALUE(TRIM(MID(SUBSTITUTE(OFFSET(C18,-1,0,1,1),".",REPT(" ",LEN(OFFSET(C18,-1,0,1,1)))),(B18-1)*LEN(OFFSET(C18,-1,0,1,1))+1,LEN(OFFSET(C18,-1,0,1,1)))))+1)))</f>
        <v/>
      </c>
      <c r="D18" s="28" t="inlineStr">
        <is>
          <t>Testing</t>
        </is>
      </c>
      <c r="E18" s="40" t="n"/>
      <c r="F18" s="36" t="n">
        <v>45313</v>
      </c>
      <c r="G18" s="30" t="n">
        <v>45331</v>
      </c>
      <c r="H18" s="31">
        <f>IF(F18=0,0,G18-F18)</f>
        <v/>
      </c>
      <c r="I18" s="28" t="inlineStr">
        <is>
          <t>In Progress</t>
        </is>
      </c>
      <c r="J18" s="28" t="inlineStr">
        <is>
          <t>High</t>
        </is>
      </c>
      <c r="K18" s="29" t="n"/>
      <c r="L18" s="24" t="n"/>
      <c r="M18" s="1" t="n"/>
      <c r="N18" s="24" t="n"/>
      <c r="O18" s="1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</row>
    <row r="19" ht="22.5" customHeight="1">
      <c r="A19" s="24" t="n"/>
      <c r="B19" s="67" t="n">
        <v>2</v>
      </c>
      <c r="C19" s="68">
        <f>IF(B19="","",IF(B19&gt;OFFSET(B19,-1,0,1,1),IF(OFFSET(C19,-1,0,1,1)="","1",OFFSET(C19,-1,0,1,1))&amp;REPT(".1",B19-MAX(OFFSET(B19,-1,0,1,1),1)),IF(ISERROR(FIND(".",OFFSET(C19,-1,0,1,1))),REPT("1.",B19-1)&amp;IFERROR(VALUE(OFFSET(C19,-1,0,1,1))+1,"1"),IF(B19=1,"",IFERROR(LEFT(OFFSET(C19,-1,0,1,1),FIND("^",SUBSTITUTE(OFFSET(C19,-1,0,1,1),".","^",B19-1))),""))&amp;VALUE(TRIM(MID(SUBSTITUTE(OFFSET(C19,-1,0,1,1),".",REPT(" ",LEN(OFFSET(C19,-1,0,1,1)))),(B19-1)*LEN(OFFSET(C19,-1,0,1,1))+1,LEN(OFFSET(C19,-1,0,1,1)))))+1)))</f>
        <v/>
      </c>
      <c r="D19" s="28" t="inlineStr">
        <is>
          <t>Dev. Complete</t>
        </is>
      </c>
      <c r="E19" s="40" t="n"/>
      <c r="F19" s="36" t="n">
        <v>45316</v>
      </c>
      <c r="G19" s="30" t="n">
        <v>45327</v>
      </c>
      <c r="H19" s="31">
        <f>IF(F19=0,0,G19-F19)</f>
        <v/>
      </c>
      <c r="I19" s="28" t="inlineStr">
        <is>
          <t>In Progress</t>
        </is>
      </c>
      <c r="J19" s="28" t="inlineStr">
        <is>
          <t>High</t>
        </is>
      </c>
      <c r="K19" s="29" t="n"/>
      <c r="L19" s="24" t="n"/>
      <c r="M19" s="1" t="n"/>
      <c r="N19" s="24" t="n"/>
      <c r="O19" s="1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</row>
    <row r="20" ht="22.5" customHeight="1">
      <c r="A20" s="24" t="n"/>
      <c r="B20" s="67" t="n">
        <v>2</v>
      </c>
      <c r="C20" s="68">
        <f>IF(B20="","",IF(B20&gt;OFFSET(B20,-1,0,1,1),IF(OFFSET(C20,-1,0,1,1)="","1",OFFSET(C20,-1,0,1,1))&amp;REPT(".1",B20-MAX(OFFSET(B20,-1,0,1,1),1)),IF(ISERROR(FIND(".",OFFSET(C20,-1,0,1,1))),REPT("1.",B20-1)&amp;IFERROR(VALUE(OFFSET(C20,-1,0,1,1))+1,"1"),IF(B20=1,"",IFERROR(LEFT(OFFSET(C20,-1,0,1,1),FIND("^",SUBSTITUTE(OFFSET(C20,-1,0,1,1),".","^",B20-1))),""))&amp;VALUE(TRIM(MID(SUBSTITUTE(OFFSET(C20,-1,0,1,1),".",REPT(" ",LEN(OFFSET(C20,-1,0,1,1)))),(B20-1)*LEN(OFFSET(C20,-1,0,1,1))+1,LEN(OFFSET(C20,-1,0,1,1)))))+1)))</f>
        <v/>
      </c>
      <c r="D20" s="28" t="inlineStr">
        <is>
          <t>Cấu hình phần cứng</t>
        </is>
      </c>
      <c r="E20" s="40" t="n"/>
      <c r="F20" s="36" t="n">
        <v>45319</v>
      </c>
      <c r="G20" s="30" t="n">
        <v>45328</v>
      </c>
      <c r="H20" s="31">
        <f>IF(F20=0,0,G20-F20)</f>
        <v/>
      </c>
      <c r="I20" s="28" t="inlineStr">
        <is>
          <t>On Hold</t>
        </is>
      </c>
      <c r="J20" s="28" t="inlineStr">
        <is>
          <t>High</t>
        </is>
      </c>
      <c r="K20" s="29" t="n"/>
      <c r="L20" s="24" t="n"/>
      <c r="M20" s="1" t="n"/>
      <c r="N20" s="24" t="n"/>
      <c r="O20" s="1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</row>
    <row r="21" ht="22.5" customHeight="1">
      <c r="A21" s="24" t="n"/>
      <c r="B21" s="67" t="n">
        <v>2</v>
      </c>
      <c r="C21" s="68">
        <f>IF(B21="","",IF(B21&gt;OFFSET(B21,-1,0,1,1),IF(OFFSET(C21,-1,0,1,1)="","1",OFFSET(C21,-1,0,1,1))&amp;REPT(".1",B21-MAX(OFFSET(B21,-1,0,1,1),1)),IF(ISERROR(FIND(".",OFFSET(C21,-1,0,1,1))),REPT("1.",B21-1)&amp;IFERROR(VALUE(OFFSET(C21,-1,0,1,1))+1,"1"),IF(B21=1,"",IFERROR(LEFT(OFFSET(C21,-1,0,1,1),FIND("^",SUBSTITUTE(OFFSET(C21,-1,0,1,1),".","^",B21-1))),""))&amp;VALUE(TRIM(MID(SUBSTITUTE(OFFSET(C21,-1,0,1,1),".",REPT(" ",LEN(OFFSET(C21,-1,0,1,1)))),(B21-1)*LEN(OFFSET(C21,-1,0,1,1))+1,LEN(OFFSET(C21,-1,0,1,1)))))+1)))</f>
        <v/>
      </c>
      <c r="D21" s="28" t="inlineStr">
        <is>
          <t>Thử nghiệm hệ thống</t>
        </is>
      </c>
      <c r="E21" s="40" t="n"/>
      <c r="F21" s="36" t="n">
        <v>45322</v>
      </c>
      <c r="G21" s="30" t="n">
        <v>45324</v>
      </c>
      <c r="H21" s="31">
        <f>IF(F21=0,0,G21-F21)</f>
        <v/>
      </c>
      <c r="I21" s="28" t="inlineStr">
        <is>
          <t>Not Started</t>
        </is>
      </c>
      <c r="J21" s="28" t="inlineStr">
        <is>
          <t>High</t>
        </is>
      </c>
      <c r="K21" s="29" t="n"/>
      <c r="L21" s="24" t="n"/>
      <c r="M21" s="1" t="n"/>
      <c r="N21" s="24" t="n"/>
      <c r="O21" s="1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</row>
    <row r="22" ht="22.5" customHeight="1">
      <c r="A22" s="24" t="n"/>
      <c r="B22" s="67" t="n">
        <v>2</v>
      </c>
      <c r="C22" s="68">
        <f>IF(B22="","",IF(B22&gt;OFFSET(B22,-1,0,1,1),IF(OFFSET(C22,-1,0,1,1)="","1",OFFSET(C22,-1,0,1,1))&amp;REPT(".1",B22-MAX(OFFSET(B22,-1,0,1,1),1)),IF(ISERROR(FIND(".",OFFSET(C22,-1,0,1,1))),REPT("1.",B22-1)&amp;IFERROR(VALUE(OFFSET(C22,-1,0,1,1))+1,"1"),IF(B22=1,"",IFERROR(LEFT(OFFSET(C22,-1,0,1,1),FIND("^",SUBSTITUTE(OFFSET(C22,-1,0,1,1),".","^",B22-1))),""))&amp;VALUE(TRIM(MID(SUBSTITUTE(OFFSET(C22,-1,0,1,1),".",REPT(" ",LEN(OFFSET(C22,-1,0,1,1)))),(B22-1)*LEN(OFFSET(C22,-1,0,1,1))+1,LEN(OFFSET(C22,-1,0,1,1)))))+1)))</f>
        <v/>
      </c>
      <c r="D22" s="28" t="inlineStr">
        <is>
          <t>Ra mắt sản phẩm</t>
        </is>
      </c>
      <c r="E22" s="40" t="n"/>
      <c r="F22" s="36" t="n">
        <v>45326</v>
      </c>
      <c r="G22" s="30" t="n">
        <v>45334</v>
      </c>
      <c r="H22" s="31">
        <f>IF(F22=0,0,G22-F22)</f>
        <v/>
      </c>
      <c r="I22" s="28" t="inlineStr">
        <is>
          <t>Not Started</t>
        </is>
      </c>
      <c r="J22" s="28" t="inlineStr">
        <is>
          <t>Medium</t>
        </is>
      </c>
      <c r="K22" s="29" t="n"/>
      <c r="L22" s="24" t="n"/>
      <c r="M22" s="1" t="n"/>
      <c r="N22" s="24" t="n"/>
      <c r="O22" s="1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</row>
    <row r="23" ht="12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24.75" customHeight="1">
      <c r="A24" s="1" t="n"/>
      <c r="B24" s="1" t="n"/>
      <c r="C24" s="1" t="n"/>
      <c r="D24" s="23" t="inlineStr">
        <is>
          <t>TÌNH TRẠNG NHIỆM VỤ %</t>
        </is>
      </c>
      <c r="E24" s="1" t="n"/>
      <c r="F24" s="1" t="n"/>
      <c r="G24" s="1" t="n"/>
      <c r="H24" s="23" t="inlineStr">
        <is>
          <t>NGÂN SÁCH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22.5" customHeight="1">
      <c r="A25" s="41" t="n"/>
      <c r="B25" s="41" t="n"/>
      <c r="C25" s="41" t="n"/>
      <c r="D25" s="42" t="inlineStr">
        <is>
          <t>TÌNH TRẠNG</t>
        </is>
      </c>
      <c r="E25" s="43" t="inlineStr">
        <is>
          <t>SỐ LƯỢNG</t>
        </is>
      </c>
      <c r="F25" s="43" t="inlineStr">
        <is>
          <t>%</t>
        </is>
      </c>
      <c r="G25" s="41" t="n"/>
      <c r="H25" s="44" t="inlineStr">
        <is>
          <t>DỰ KIẾN</t>
        </is>
      </c>
      <c r="I25" s="45" t="n">
        <v>80000</v>
      </c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</row>
    <row r="26" ht="22.5" customHeight="1">
      <c r="A26" s="41" t="n"/>
      <c r="B26" s="41" t="n"/>
      <c r="C26" s="41" t="n"/>
      <c r="D26" s="46" t="inlineStr">
        <is>
          <t>Not Started (Chưa bắt đầu)</t>
        </is>
      </c>
      <c r="E26" s="47">
        <f>COUNTIF(I11:I22, "Not Started")</f>
        <v/>
      </c>
      <c r="F26" s="48">
        <f>IFERROR(E26/E31,"")</f>
        <v/>
      </c>
      <c r="G26" s="41" t="n"/>
      <c r="H26" s="49" t="inlineStr">
        <is>
          <t>THỰC TẾ</t>
        </is>
      </c>
      <c r="I26" s="50" t="n">
        <v>50000</v>
      </c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</row>
    <row r="27" ht="22.5" customHeight="1">
      <c r="A27" s="41" t="n"/>
      <c r="B27" s="41" t="n"/>
      <c r="C27" s="41" t="n"/>
      <c r="D27" s="51" t="inlineStr">
        <is>
          <t>In Progress (Đang làm)</t>
        </is>
      </c>
      <c r="E27" s="47">
        <f>COUNTIF(I11:I22, "In Progress")</f>
        <v/>
      </c>
      <c r="F27" s="48">
        <f>IFERROR(E27/E31,"")</f>
        <v/>
      </c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</row>
    <row r="28" ht="22.5" customHeight="1">
      <c r="A28" s="41" t="n"/>
      <c r="B28" s="41" t="n"/>
      <c r="C28" s="41" t="n"/>
      <c r="D28" s="52" t="inlineStr">
        <is>
          <t>Complete (Hoàn thiện)</t>
        </is>
      </c>
      <c r="E28" s="47">
        <f>COUNTIF(I11:I22, "Complete")</f>
        <v/>
      </c>
      <c r="F28" s="48">
        <f>IFERROR(E28/E31,"")</f>
        <v/>
      </c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</row>
    <row r="29" ht="22.5" customHeight="1">
      <c r="A29" s="41" t="n"/>
      <c r="B29" s="41" t="n"/>
      <c r="C29" s="41" t="n"/>
      <c r="D29" s="53" t="inlineStr">
        <is>
          <t>Overdue (Qúa hạn)</t>
        </is>
      </c>
      <c r="E29" s="47">
        <f>COUNTIF(I11:I22, "Overdue")</f>
        <v/>
      </c>
      <c r="F29" s="48">
        <f>IFERROR(E29/E31,"")</f>
        <v/>
      </c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</row>
    <row r="30" ht="22.5" customHeight="1">
      <c r="A30" s="41" t="n"/>
      <c r="B30" s="41" t="n"/>
      <c r="C30" s="41" t="n"/>
      <c r="D30" s="54" t="inlineStr">
        <is>
          <t>On Hold (Đang chờ)</t>
        </is>
      </c>
      <c r="E30" s="55">
        <f>COUNTIF(I11:I22, "On Hold")</f>
        <v/>
      </c>
      <c r="F30" s="56">
        <f>IFERROR(E30/E31,"")</f>
        <v/>
      </c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</row>
    <row r="31" ht="22.5" customHeight="1">
      <c r="A31" s="41" t="n"/>
      <c r="B31" s="41" t="n"/>
      <c r="C31" s="41" t="n"/>
      <c r="D31" s="57" t="inlineStr">
        <is>
          <t>TỔNG</t>
        </is>
      </c>
      <c r="E31" s="58">
        <f>SUM(E26:E30)</f>
        <v/>
      </c>
      <c r="F31" s="59">
        <f>SUM(F26:F30)</f>
        <v/>
      </c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</row>
    <row r="32" ht="12.75" customHeight="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</row>
    <row r="33" ht="24.75" customHeight="1">
      <c r="A33" s="1" t="n"/>
      <c r="B33" s="1" t="n"/>
      <c r="C33" s="1" t="n"/>
      <c r="D33" s="23" t="inlineStr">
        <is>
          <t>MỨC ĐỘ ƯU TIÊN %</t>
        </is>
      </c>
      <c r="E33" s="1" t="n"/>
      <c r="F33" s="1" t="n"/>
      <c r="G33" s="1" t="n"/>
      <c r="H33" s="60" t="inlineStr">
        <is>
          <t>CÁC MỤC ĐANG CHỜ</t>
        </is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 ht="22.5" customHeight="1">
      <c r="A34" s="41" t="n"/>
      <c r="B34" s="41" t="n"/>
      <c r="C34" s="41" t="n"/>
      <c r="D34" s="42" t="inlineStr">
        <is>
          <t xml:space="preserve">MỨC ĐỘ ƯU TIÊN </t>
        </is>
      </c>
      <c r="E34" s="43" t="inlineStr">
        <is>
          <t>SỐ LƯỢNG</t>
        </is>
      </c>
      <c r="F34" s="43" t="inlineStr">
        <is>
          <t>%</t>
        </is>
      </c>
      <c r="G34" s="41" t="n"/>
      <c r="H34" s="61" t="inlineStr">
        <is>
          <t>Decisions</t>
        </is>
      </c>
      <c r="I34" s="45" t="n">
        <v>5</v>
      </c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</row>
    <row r="35" ht="22.5" customHeight="1">
      <c r="A35" s="41" t="n"/>
      <c r="B35" s="41" t="n"/>
      <c r="C35" s="41" t="n"/>
      <c r="D35" s="34" t="inlineStr">
        <is>
          <t>High</t>
        </is>
      </c>
      <c r="E35" s="47">
        <f>COUNTIF(J11:J22, "High")</f>
        <v/>
      </c>
      <c r="F35" s="48">
        <f>IFERROR(E35/E39,"")</f>
        <v/>
      </c>
      <c r="G35" s="41" t="n"/>
      <c r="H35" s="62" t="inlineStr">
        <is>
          <t>Actions</t>
        </is>
      </c>
      <c r="I35" s="45" t="n">
        <v>2</v>
      </c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</row>
    <row r="36" ht="22.5" customHeight="1">
      <c r="A36" s="41" t="n"/>
      <c r="B36" s="41" t="n"/>
      <c r="C36" s="41" t="n"/>
      <c r="D36" s="37" t="inlineStr">
        <is>
          <t>Medium</t>
        </is>
      </c>
      <c r="E36" s="47">
        <f>COUNTIF(J11:J22, "Medium")</f>
        <v/>
      </c>
      <c r="F36" s="48">
        <f>IFERROR(E36/E39,"")</f>
        <v/>
      </c>
      <c r="G36" s="41" t="n"/>
      <c r="H36" s="63" t="inlineStr">
        <is>
          <t xml:space="preserve">Change Requests </t>
        </is>
      </c>
      <c r="I36" s="45" t="n">
        <v>4</v>
      </c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</row>
    <row r="37" ht="22.5" customHeight="1">
      <c r="A37" s="41" t="n"/>
      <c r="B37" s="41" t="n"/>
      <c r="C37" s="41" t="n"/>
      <c r="D37" s="38" t="inlineStr">
        <is>
          <t>Low</t>
        </is>
      </c>
      <c r="E37" s="47">
        <f>COUNTIF(J11:J22, "Low")</f>
        <v/>
      </c>
      <c r="F37" s="48">
        <f>IFERROR(E37/E39,"")</f>
        <v/>
      </c>
      <c r="G37" s="41" t="n"/>
      <c r="H37" s="1" t="n"/>
      <c r="I37" s="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</row>
    <row r="38" ht="22.5" customHeight="1">
      <c r="A38" s="41" t="n"/>
      <c r="B38" s="41" t="n"/>
      <c r="C38" s="41" t="n"/>
      <c r="D38" s="64" t="n"/>
      <c r="E38" s="55">
        <f>COUNTIF(J11:J22, "...")</f>
        <v/>
      </c>
      <c r="F38" s="56">
        <f>IFERROR(E38/E39,"")</f>
        <v/>
      </c>
      <c r="G38" s="41" t="n"/>
      <c r="H38" s="1" t="n"/>
      <c r="I38" s="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</row>
    <row r="39" ht="22.5" customHeight="1">
      <c r="A39" s="41" t="n"/>
      <c r="B39" s="41" t="n"/>
      <c r="C39" s="41" t="n"/>
      <c r="D39" s="57" t="inlineStr">
        <is>
          <t>TOTAL</t>
        </is>
      </c>
      <c r="E39" s="58">
        <f>SUM(E35:E38)</f>
        <v/>
      </c>
      <c r="F39" s="59">
        <f>SUM(F35:F38)</f>
        <v/>
      </c>
      <c r="G39" s="41" t="n"/>
      <c r="H39" s="1" t="n"/>
      <c r="I39" s="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</row>
    <row r="40" ht="12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 ht="12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2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2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2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12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12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2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2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2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2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2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2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2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2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2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2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2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2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12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2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2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2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2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2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2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2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</row>
    <row r="67" ht="12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</row>
    <row r="247" ht="12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</row>
    <row r="248" ht="12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</row>
    <row r="249" ht="12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</row>
    <row r="250" ht="12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</row>
    <row r="251" ht="12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</row>
    <row r="252" ht="12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</row>
    <row r="253" ht="12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</row>
    <row r="254" ht="12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</row>
    <row r="255" ht="12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</row>
    <row r="256" ht="12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</row>
    <row r="257" ht="12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</row>
    <row r="258" ht="12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</row>
    <row r="259" ht="12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</row>
    <row r="260" ht="12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</row>
    <row r="261" ht="12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</row>
    <row r="262" ht="12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</row>
    <row r="263" ht="12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</row>
    <row r="264" ht="12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</row>
    <row r="265" ht="12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</row>
    <row r="266" ht="12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</row>
    <row r="267" ht="12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</row>
    <row r="268" ht="12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</row>
    <row r="269" ht="12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</row>
    <row r="270" ht="12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</row>
    <row r="271" ht="12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</row>
    <row r="272" ht="12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</row>
    <row r="273" ht="12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</row>
    <row r="274" ht="12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</row>
    <row r="275" ht="12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</row>
    <row r="276" ht="12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</row>
    <row r="277" ht="12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</row>
    <row r="278" ht="12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</row>
    <row r="279" ht="12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</row>
    <row r="280" ht="12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</row>
    <row r="281" ht="12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</row>
    <row r="282" ht="12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</row>
    <row r="283" ht="12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</row>
    <row r="284" ht="12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</row>
    <row r="285" ht="12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</row>
    <row r="286" ht="12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</row>
    <row r="287" ht="12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</row>
    <row r="288" ht="12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</row>
    <row r="289" ht="12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</row>
    <row r="290" ht="12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</row>
    <row r="291" ht="12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</row>
    <row r="292" ht="12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</row>
    <row r="293" ht="12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</row>
    <row r="294" ht="12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</row>
    <row r="295" ht="12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</row>
    <row r="296" ht="12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</row>
    <row r="297" ht="12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</row>
    <row r="298" ht="12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</row>
    <row r="299" ht="12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</row>
    <row r="300" ht="12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</row>
    <row r="301" ht="12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</row>
    <row r="302" ht="12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</row>
    <row r="303" ht="12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</row>
    <row r="304" ht="12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</row>
    <row r="305" ht="12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</row>
    <row r="306" ht="12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</row>
    <row r="307" ht="12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</row>
    <row r="308" ht="12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</row>
    <row r="309" ht="12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</row>
    <row r="310" ht="12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</row>
    <row r="311" ht="12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</row>
    <row r="312" ht="12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</row>
    <row r="313" ht="12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</row>
    <row r="314" ht="12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</row>
    <row r="315" ht="12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</row>
    <row r="316" ht="12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</row>
    <row r="317" ht="12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</row>
    <row r="318" ht="12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</row>
    <row r="319" ht="12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</row>
    <row r="320" ht="12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</row>
    <row r="321" ht="12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</row>
    <row r="322" ht="12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</row>
    <row r="323" ht="12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</row>
    <row r="324" ht="12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</row>
    <row r="325" ht="12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</row>
    <row r="326" ht="12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</row>
    <row r="327" ht="12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</row>
    <row r="328" ht="12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</row>
    <row r="329" ht="12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</row>
    <row r="330" ht="12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</row>
    <row r="331" ht="12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</row>
    <row r="332" ht="12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</row>
    <row r="333" ht="12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</row>
    <row r="334" ht="12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</row>
    <row r="335" ht="12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</row>
    <row r="336" ht="12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</row>
    <row r="337" ht="12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</row>
    <row r="338" ht="12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</row>
    <row r="339" ht="12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</row>
    <row r="340" ht="12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</row>
    <row r="341" ht="12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</row>
    <row r="342" ht="12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</row>
    <row r="343" ht="12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</row>
    <row r="344" ht="12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</row>
    <row r="345" ht="12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</row>
    <row r="346" ht="12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</row>
    <row r="347" ht="12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</row>
    <row r="348" ht="12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</row>
    <row r="349" ht="12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</row>
    <row r="350" ht="12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</row>
    <row r="351" ht="12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</row>
    <row r="352" ht="12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</row>
    <row r="353" ht="12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</row>
    <row r="354" ht="12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</row>
    <row r="355" ht="12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</row>
    <row r="356" ht="12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</row>
    <row r="357" ht="12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</row>
    <row r="358" ht="12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</row>
    <row r="359" ht="12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</row>
    <row r="360" ht="12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</row>
    <row r="361" ht="12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</row>
    <row r="362" ht="12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</row>
    <row r="363" ht="12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</row>
    <row r="364" ht="12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</row>
    <row r="365" ht="12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</row>
    <row r="366" ht="12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</row>
    <row r="367" ht="12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</row>
    <row r="368" ht="12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</row>
    <row r="369" ht="12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</row>
    <row r="370" ht="12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</row>
    <row r="371" ht="12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</row>
    <row r="372" ht="12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</row>
    <row r="373" ht="12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</row>
    <row r="374" ht="12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</row>
    <row r="375" ht="12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</row>
    <row r="376" ht="12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</row>
    <row r="377" ht="12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</row>
    <row r="378" ht="12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</row>
    <row r="379" ht="12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</row>
    <row r="380" ht="12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</row>
    <row r="381" ht="12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</row>
    <row r="382" ht="12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</row>
    <row r="383" ht="12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</row>
    <row r="384" ht="12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</row>
    <row r="385" ht="12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</row>
    <row r="386" ht="12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</row>
    <row r="387" ht="12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</row>
    <row r="388" ht="12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</row>
    <row r="389" ht="12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</row>
    <row r="390" ht="12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</row>
    <row r="391" ht="12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</row>
    <row r="392" ht="12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</row>
    <row r="393" ht="12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</row>
    <row r="394" ht="12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</row>
    <row r="395" ht="12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</row>
    <row r="396" ht="12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</row>
    <row r="397" ht="12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</row>
    <row r="398" ht="12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</row>
    <row r="399" ht="12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</row>
    <row r="400" ht="12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</row>
    <row r="401" ht="12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</row>
    <row r="402" ht="12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</row>
    <row r="403" ht="12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</row>
    <row r="404" ht="12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</row>
    <row r="405" ht="12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</row>
    <row r="406" ht="12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</row>
    <row r="407" ht="12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</row>
    <row r="408" ht="12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</row>
    <row r="409" ht="12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</row>
    <row r="410" ht="12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</row>
    <row r="411" ht="12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</row>
    <row r="412" ht="12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</row>
    <row r="413" ht="12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</row>
    <row r="414" ht="12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</row>
    <row r="415" ht="12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</row>
    <row r="416" ht="12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</row>
    <row r="417" ht="12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</row>
    <row r="418" ht="12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</row>
    <row r="419" ht="12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</row>
    <row r="420" ht="12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</row>
    <row r="421" ht="12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</row>
    <row r="422" ht="12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</row>
    <row r="423" ht="12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</row>
    <row r="424" ht="12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</row>
    <row r="425" ht="12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</row>
    <row r="426" ht="12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</row>
    <row r="427" ht="12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</row>
    <row r="428" ht="12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</row>
    <row r="429" ht="12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</row>
    <row r="430" ht="12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</row>
    <row r="431" ht="12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</row>
    <row r="432" ht="12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</row>
    <row r="433" ht="12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</row>
    <row r="434" ht="12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</row>
    <row r="435" ht="12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</row>
    <row r="436" ht="12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</row>
    <row r="437" ht="12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</row>
    <row r="438" ht="12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</row>
    <row r="439" ht="12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</row>
    <row r="440" ht="12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</row>
    <row r="441" ht="12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</row>
    <row r="442" ht="12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</row>
    <row r="443" ht="12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</row>
    <row r="444" ht="12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</row>
    <row r="445" ht="12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</row>
    <row r="446" ht="12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</row>
    <row r="447" ht="12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</row>
    <row r="448" ht="12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</row>
    <row r="449" ht="12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</row>
    <row r="450" ht="12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</row>
    <row r="451" ht="12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</row>
    <row r="452" ht="12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</row>
    <row r="453" ht="12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</row>
    <row r="454" ht="12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</row>
    <row r="455" ht="12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</row>
    <row r="456" ht="12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</row>
    <row r="457" ht="12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</row>
    <row r="458" ht="12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</row>
    <row r="459" ht="12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</row>
    <row r="460" ht="12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</row>
    <row r="461" ht="12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</row>
    <row r="462" ht="12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</row>
    <row r="463" ht="12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</row>
    <row r="464" ht="12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</row>
    <row r="465" ht="12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</row>
    <row r="466" ht="12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</row>
    <row r="467" ht="12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</row>
    <row r="468" ht="12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</row>
    <row r="469" ht="12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</row>
    <row r="470" ht="12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</row>
    <row r="471" ht="12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</row>
    <row r="472" ht="12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</row>
    <row r="473" ht="12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</row>
    <row r="474" ht="12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</row>
    <row r="475" ht="12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</row>
    <row r="476" ht="12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</row>
    <row r="477" ht="12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</row>
    <row r="478" ht="12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</row>
    <row r="479" ht="12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</row>
    <row r="480" ht="12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</row>
    <row r="481" ht="12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</row>
    <row r="482" ht="12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</row>
    <row r="483" ht="12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</row>
    <row r="484" ht="12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</row>
    <row r="485" ht="12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</row>
    <row r="486" ht="12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</row>
    <row r="487" ht="12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</row>
    <row r="488" ht="12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</row>
    <row r="489" ht="12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</row>
    <row r="490" ht="12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</row>
    <row r="491" ht="12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</row>
    <row r="492" ht="12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</row>
    <row r="493" ht="12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</row>
    <row r="494" ht="12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</row>
    <row r="495" ht="12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</row>
    <row r="496" ht="12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</row>
    <row r="497" ht="12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</row>
    <row r="498" ht="12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</row>
    <row r="499" ht="12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</row>
    <row r="500" ht="12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</row>
    <row r="501" ht="12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</row>
    <row r="502" ht="12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</row>
    <row r="503" ht="12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</row>
    <row r="504" ht="12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</row>
    <row r="505" ht="12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</row>
    <row r="506" ht="12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</row>
    <row r="507" ht="12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</row>
    <row r="508" ht="12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</row>
    <row r="509" ht="12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</row>
    <row r="510" ht="12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</row>
    <row r="511" ht="12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</row>
    <row r="512" ht="12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</row>
    <row r="513" ht="12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</row>
    <row r="514" ht="12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</row>
    <row r="515" ht="12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</row>
    <row r="516" ht="12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</row>
    <row r="517" ht="12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</row>
    <row r="518" ht="12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</row>
    <row r="519" ht="12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</row>
    <row r="520" ht="12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</row>
    <row r="521" ht="12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</row>
    <row r="522" ht="12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</row>
    <row r="523" ht="12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</row>
    <row r="524" ht="12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</row>
    <row r="525" ht="12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</row>
    <row r="526" ht="12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</row>
    <row r="527" ht="12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</row>
    <row r="528" ht="12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</row>
    <row r="529" ht="12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</row>
    <row r="530" ht="12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</row>
    <row r="531" ht="12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</row>
    <row r="532" ht="12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</row>
    <row r="533" ht="12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</row>
    <row r="534" ht="12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</row>
    <row r="535" ht="12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</row>
    <row r="536" ht="12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</row>
    <row r="537" ht="12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</row>
    <row r="538" ht="12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</row>
    <row r="539" ht="12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</row>
    <row r="540" ht="12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</row>
    <row r="541" ht="12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</row>
    <row r="542" ht="12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</row>
    <row r="543" ht="12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</row>
    <row r="544" ht="12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</row>
    <row r="545" ht="12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</row>
    <row r="546" ht="12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</row>
    <row r="547" ht="12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</row>
    <row r="548" ht="12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</row>
    <row r="549" ht="12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</row>
    <row r="550" ht="12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</row>
    <row r="551" ht="12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</row>
    <row r="552" ht="12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</row>
    <row r="553" ht="12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</row>
    <row r="554" ht="12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</row>
    <row r="555" ht="12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</row>
    <row r="556" ht="12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</row>
    <row r="557" ht="12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</row>
    <row r="558" ht="12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</row>
    <row r="559" ht="12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</row>
    <row r="560" ht="12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</row>
    <row r="561" ht="12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</row>
    <row r="562" ht="12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</row>
    <row r="563" ht="12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</row>
    <row r="564" ht="12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</row>
    <row r="565" ht="12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</row>
    <row r="566" ht="12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</row>
    <row r="567" ht="12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</row>
    <row r="568" ht="12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</row>
    <row r="569" ht="12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</row>
    <row r="570" ht="12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</row>
    <row r="571" ht="12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</row>
    <row r="572" ht="12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</row>
    <row r="573" ht="12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</row>
    <row r="574" ht="12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</row>
    <row r="575" ht="12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</row>
    <row r="576" ht="12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</row>
    <row r="577" ht="12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</row>
    <row r="578" ht="12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</row>
    <row r="579" ht="12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</row>
    <row r="580" ht="12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</row>
    <row r="581" ht="12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</row>
    <row r="582" ht="12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</row>
    <row r="583" ht="12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</row>
    <row r="584" ht="12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</row>
    <row r="585" ht="12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</row>
    <row r="586" ht="12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</row>
    <row r="587" ht="12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</row>
    <row r="588" ht="12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</row>
    <row r="589" ht="12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</row>
    <row r="590" ht="12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</row>
    <row r="591" ht="12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</row>
    <row r="592" ht="12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</row>
    <row r="593" ht="12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</row>
    <row r="594" ht="12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</row>
    <row r="595" ht="12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</row>
    <row r="596" ht="12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</row>
    <row r="597" ht="12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</row>
    <row r="598" ht="12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</row>
    <row r="599" ht="12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</row>
    <row r="600" ht="12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</row>
    <row r="601" ht="12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</row>
    <row r="602" ht="12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</row>
    <row r="603" ht="12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</row>
    <row r="604" ht="12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</row>
    <row r="605" ht="12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</row>
    <row r="606" ht="12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</row>
    <row r="607" ht="12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</row>
    <row r="608" ht="12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</row>
    <row r="609" ht="12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</row>
    <row r="610" ht="12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</row>
    <row r="611" ht="12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</row>
    <row r="612" ht="12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</row>
    <row r="613" ht="12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</row>
    <row r="614" ht="12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</row>
    <row r="615" ht="12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</row>
    <row r="616" ht="12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</row>
    <row r="617" ht="12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</row>
    <row r="618" ht="12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</row>
    <row r="619" ht="12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</row>
    <row r="620" ht="12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</row>
    <row r="621" ht="12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</row>
    <row r="622" ht="12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</row>
    <row r="623" ht="12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</row>
    <row r="624" ht="12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</row>
    <row r="625" ht="12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</row>
    <row r="626" ht="12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</row>
    <row r="627" ht="12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</row>
    <row r="628" ht="12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</row>
    <row r="629" ht="12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</row>
    <row r="630" ht="12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</row>
    <row r="631" ht="12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</row>
    <row r="632" ht="12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</row>
    <row r="633" ht="12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</row>
    <row r="634" ht="12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</row>
    <row r="635" ht="12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</row>
    <row r="636" ht="12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</row>
    <row r="637" ht="12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</row>
    <row r="638" ht="12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</row>
    <row r="639" ht="12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</row>
    <row r="640" ht="12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</row>
    <row r="641" ht="12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</row>
    <row r="642" ht="12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</row>
    <row r="643" ht="12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</row>
    <row r="644" ht="12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</row>
    <row r="645" ht="12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</row>
    <row r="646" ht="12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</row>
    <row r="647" ht="12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</row>
    <row r="648" ht="12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</row>
    <row r="649" ht="12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</row>
    <row r="650" ht="12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</row>
    <row r="651" ht="12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</row>
    <row r="652" ht="12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</row>
    <row r="653" ht="12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</row>
    <row r="654" ht="12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</row>
    <row r="655" ht="12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</row>
    <row r="656" ht="12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</row>
    <row r="657" ht="12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</row>
    <row r="658" ht="12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</row>
    <row r="659" ht="12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</row>
    <row r="660" ht="12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</row>
    <row r="661" ht="12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</row>
    <row r="662" ht="12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</row>
    <row r="663" ht="12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</row>
    <row r="664" ht="12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</row>
    <row r="665" ht="12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</row>
    <row r="666" ht="12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</row>
    <row r="667" ht="12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</row>
    <row r="668" ht="12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</row>
    <row r="669" ht="12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</row>
    <row r="670" ht="12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</row>
    <row r="671" ht="12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</row>
    <row r="672" ht="12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</row>
    <row r="673" ht="12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</row>
    <row r="674" ht="12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</row>
    <row r="675" ht="12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</row>
    <row r="676" ht="12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</row>
    <row r="677" ht="12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</row>
    <row r="678" ht="12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</row>
    <row r="679" ht="12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</row>
    <row r="680" ht="12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</row>
    <row r="681" ht="12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</row>
    <row r="682" ht="12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</row>
    <row r="683" ht="12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</row>
    <row r="684" ht="12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</row>
    <row r="685" ht="12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</row>
    <row r="686" ht="12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</row>
    <row r="687" ht="12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</row>
    <row r="688" ht="12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</row>
    <row r="689" ht="12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</row>
    <row r="690" ht="12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</row>
    <row r="691" ht="12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</row>
    <row r="692" ht="12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</row>
    <row r="693" ht="12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</row>
    <row r="694" ht="12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</row>
    <row r="695" ht="12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</row>
    <row r="696" ht="12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</row>
    <row r="697" ht="12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</row>
    <row r="698" ht="12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</row>
    <row r="699" ht="12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</row>
    <row r="700" ht="12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</row>
    <row r="701" ht="12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</row>
    <row r="702" ht="12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</row>
    <row r="703" ht="12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</row>
    <row r="704" ht="12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</row>
    <row r="705" ht="12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</row>
    <row r="706" ht="12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</row>
    <row r="707" ht="12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</row>
    <row r="708" ht="12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</row>
    <row r="709" ht="12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</row>
    <row r="710" ht="12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</row>
    <row r="711" ht="12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</row>
    <row r="712" ht="12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</row>
    <row r="713" ht="12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</row>
    <row r="714" ht="12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</row>
    <row r="715" ht="12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</row>
    <row r="716" ht="12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</row>
    <row r="717" ht="12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</row>
    <row r="718" ht="12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</row>
    <row r="719" ht="12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</row>
    <row r="720" ht="12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</row>
    <row r="721" ht="12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</row>
    <row r="722" ht="12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</row>
    <row r="723" ht="12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</row>
    <row r="724" ht="12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</row>
    <row r="725" ht="12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</row>
    <row r="726" ht="12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</row>
    <row r="727" ht="12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</row>
    <row r="728" ht="12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</row>
    <row r="729" ht="12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</row>
    <row r="730" ht="12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</row>
    <row r="731" ht="12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</row>
    <row r="732" ht="12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</row>
    <row r="733" ht="12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</row>
    <row r="734" ht="12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</row>
    <row r="735" ht="12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</row>
    <row r="736" ht="12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</row>
    <row r="737" ht="12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</row>
    <row r="738" ht="12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</row>
    <row r="739" ht="12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</row>
    <row r="740" ht="12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</row>
    <row r="741" ht="12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</row>
    <row r="742" ht="12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</row>
    <row r="743" ht="12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</row>
    <row r="744" ht="12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</row>
    <row r="745" ht="12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</row>
    <row r="746" ht="12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</row>
    <row r="747" ht="12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</row>
    <row r="748" ht="12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</row>
    <row r="749" ht="12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</row>
    <row r="750" ht="12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</row>
    <row r="751" ht="12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</row>
    <row r="752" ht="12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</row>
    <row r="753" ht="12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</row>
    <row r="754" ht="12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</row>
    <row r="755" ht="12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</row>
    <row r="756" ht="12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</row>
    <row r="757" ht="12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</row>
    <row r="758" ht="12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</row>
    <row r="759" ht="12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</row>
    <row r="760" ht="12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</row>
    <row r="761" ht="12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</row>
    <row r="762" ht="12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</row>
    <row r="763" ht="12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</row>
    <row r="764" ht="12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</row>
    <row r="765" ht="12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</row>
    <row r="766" ht="12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</row>
    <row r="767" ht="12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</row>
    <row r="768" ht="12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</row>
    <row r="769" ht="12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</row>
    <row r="770" ht="12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</row>
    <row r="771" ht="12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</row>
    <row r="772" ht="12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</row>
    <row r="773" ht="12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</row>
    <row r="774" ht="12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</row>
    <row r="775" ht="12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</row>
    <row r="776" ht="12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</row>
    <row r="777" ht="12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</row>
    <row r="778" ht="12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</row>
    <row r="779" ht="12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</row>
    <row r="780" ht="12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</row>
    <row r="781" ht="12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</row>
    <row r="782" ht="12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</row>
    <row r="783" ht="12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</row>
    <row r="784" ht="12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</row>
    <row r="785" ht="12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</row>
    <row r="786" ht="12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</row>
    <row r="787" ht="12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</row>
    <row r="788" ht="12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</row>
    <row r="789" ht="12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</row>
    <row r="790" ht="12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</row>
    <row r="791" ht="12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</row>
    <row r="792" ht="12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</row>
    <row r="793" ht="12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</row>
    <row r="794" ht="12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</row>
    <row r="795" ht="12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</row>
    <row r="796" ht="12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</row>
    <row r="797" ht="12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</row>
    <row r="798" ht="12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</row>
    <row r="799" ht="12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</row>
    <row r="800" ht="12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</row>
    <row r="801" ht="12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</row>
    <row r="802" ht="12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</row>
    <row r="803" ht="12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</row>
    <row r="804" ht="12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</row>
    <row r="805" ht="12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</row>
    <row r="806" ht="12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</row>
    <row r="807" ht="12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</row>
    <row r="808" ht="12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</row>
    <row r="809" ht="12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</row>
    <row r="810" ht="12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</row>
    <row r="811" ht="12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</row>
    <row r="812" ht="12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</row>
    <row r="813" ht="12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</row>
    <row r="814" ht="12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</row>
    <row r="815" ht="12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</row>
    <row r="816" ht="12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</row>
    <row r="817" ht="12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</row>
    <row r="818" ht="12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</row>
    <row r="819" ht="12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</row>
    <row r="820" ht="12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</row>
    <row r="821" ht="12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</row>
    <row r="822" ht="12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</row>
    <row r="823" ht="12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</row>
    <row r="824" ht="12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</row>
    <row r="825" ht="12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</row>
    <row r="826" ht="12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</row>
    <row r="827" ht="12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</row>
    <row r="828" ht="12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</row>
    <row r="829" ht="12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</row>
    <row r="830" ht="12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</row>
    <row r="831" ht="12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</row>
    <row r="832" ht="12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</row>
    <row r="833" ht="12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</row>
    <row r="834" ht="12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</row>
    <row r="835" ht="12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</row>
    <row r="836" ht="12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</row>
    <row r="837" ht="12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</row>
    <row r="838" ht="12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</row>
    <row r="839" ht="12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</row>
    <row r="840" ht="12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</row>
    <row r="841" ht="12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</row>
    <row r="842" ht="12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</row>
    <row r="843" ht="12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</row>
    <row r="844" ht="12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</row>
    <row r="845" ht="12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</row>
    <row r="846" ht="12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</row>
    <row r="847" ht="12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</row>
    <row r="848" ht="12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</row>
    <row r="849" ht="12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</row>
    <row r="850" ht="12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</row>
    <row r="851" ht="12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</row>
    <row r="852" ht="12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</row>
    <row r="853" ht="12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</row>
    <row r="854" ht="12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</row>
    <row r="855" ht="12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</row>
    <row r="856" ht="12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</row>
    <row r="857" ht="12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</row>
    <row r="858" ht="12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</row>
    <row r="859" ht="12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</row>
    <row r="860" ht="12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</row>
    <row r="861" ht="12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</row>
    <row r="862" ht="12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</row>
    <row r="863" ht="12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</row>
    <row r="864" ht="12.7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</row>
    <row r="865" ht="12.7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</row>
    <row r="866" ht="12.7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</row>
    <row r="867" ht="12.7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</row>
    <row r="868" ht="12.7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</row>
    <row r="869" ht="12.7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</row>
    <row r="870" ht="12.7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</row>
    <row r="871" ht="12.7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</row>
    <row r="872" ht="12.7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</row>
    <row r="873" ht="12.7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</row>
    <row r="874" ht="12.7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</row>
    <row r="875" ht="12.7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</row>
    <row r="876" ht="12.7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</row>
    <row r="877" ht="12.7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</row>
    <row r="878" ht="12.7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</row>
    <row r="879" ht="12.7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</row>
    <row r="880" ht="12.7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</row>
    <row r="881" ht="12.7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</row>
    <row r="882" ht="12.7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</row>
    <row r="883" ht="12.7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</row>
    <row r="884" ht="12.7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</row>
    <row r="885" ht="12.7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</row>
    <row r="886" ht="12.7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</row>
    <row r="887" ht="12.7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</row>
    <row r="888" ht="12.7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</row>
    <row r="889" ht="12.7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</row>
    <row r="890" ht="12.7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</row>
    <row r="891" ht="12.7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</row>
    <row r="892" ht="12.7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</row>
    <row r="893" ht="12.7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</row>
    <row r="894" ht="12.7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</row>
    <row r="895" ht="12.7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</row>
    <row r="896" ht="12.7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</row>
    <row r="897" ht="12.7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</row>
    <row r="898" ht="12.7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</row>
    <row r="899" ht="12.7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</row>
    <row r="900" ht="12.7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</row>
    <row r="901" ht="12.7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</row>
    <row r="902" ht="12.7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</row>
    <row r="903" ht="12.7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</row>
    <row r="904" ht="12.7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</row>
    <row r="905" ht="12.7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</row>
    <row r="906" ht="12.7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</row>
    <row r="907" ht="12.7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</row>
    <row r="908" ht="12.7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</row>
    <row r="909" ht="12.7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</row>
    <row r="910" ht="12.7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</row>
    <row r="911" ht="12.7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</row>
    <row r="912" ht="12.7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</row>
    <row r="913" ht="12.7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</row>
    <row r="914" ht="12.7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</row>
    <row r="915" ht="12.7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</row>
    <row r="916" ht="12.7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</row>
    <row r="917" ht="12.7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</row>
    <row r="918" ht="12.7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</row>
    <row r="919" ht="12.7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</row>
    <row r="920" ht="12.7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</row>
    <row r="921" ht="12.7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</row>
    <row r="922" ht="12.7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</row>
    <row r="923" ht="12.7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</row>
    <row r="924" ht="12.7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</row>
    <row r="925" ht="12.7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</row>
    <row r="926" ht="12.7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</row>
    <row r="927" ht="12.7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</row>
    <row r="928" ht="12.7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</row>
    <row r="929" ht="12.7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</row>
    <row r="930" ht="12.7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</row>
    <row r="931" ht="12.7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</row>
    <row r="932" ht="12.7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</row>
    <row r="933" ht="12.7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</row>
    <row r="934" ht="12.7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</row>
    <row r="935" ht="12.7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</row>
    <row r="936" ht="12.7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</row>
    <row r="937" ht="12.7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</row>
    <row r="938" ht="12.7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</row>
    <row r="939" ht="12.7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</row>
    <row r="940" ht="12.7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</row>
    <row r="941" ht="12.7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</row>
    <row r="942" ht="12.7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</row>
    <row r="943" ht="12.7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</row>
    <row r="944" ht="12.7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</row>
    <row r="945" ht="12.7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</row>
    <row r="946" ht="12.7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</row>
    <row r="947" ht="12.7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</row>
    <row r="948" ht="12.7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</row>
    <row r="949" ht="12.7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</row>
    <row r="950" ht="12.7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</row>
    <row r="951" ht="12.7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</row>
    <row r="952" ht="12.7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</row>
    <row r="953" ht="12.7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</row>
    <row r="954" ht="12.7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</row>
    <row r="955" ht="12.7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</row>
    <row r="956" ht="12.7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</row>
    <row r="957" ht="12.7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</row>
    <row r="958" ht="12.7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</row>
    <row r="959" ht="12.7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</row>
    <row r="960" ht="12.7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</row>
    <row r="961" ht="12.7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</row>
    <row r="962" ht="12.7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</row>
    <row r="963" ht="12.7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</row>
    <row r="964" ht="12.7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</row>
    <row r="965" ht="12.7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</row>
    <row r="966" ht="12.7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</row>
    <row r="967" ht="12.7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</row>
    <row r="968" ht="12.7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</row>
    <row r="969" ht="12.7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</row>
    <row r="970" ht="12.7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</row>
    <row r="971" ht="12.7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</row>
    <row r="972" ht="12.7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</row>
    <row r="973" ht="12.7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</row>
    <row r="974" ht="12.7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</row>
    <row r="975" ht="12.7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</row>
    <row r="976" ht="12.7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</row>
    <row r="977" ht="12.7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</row>
    <row r="978" ht="12.7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</row>
    <row r="979" ht="12.7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</row>
    <row r="980" ht="12.7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</row>
    <row r="981" ht="12.7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</row>
    <row r="982" ht="12.7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</row>
    <row r="983" ht="12.7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</row>
    <row r="984" ht="12.7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</row>
    <row r="985" ht="12.7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</row>
    <row r="986" ht="12.7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</row>
    <row r="987" ht="12.7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</row>
    <row r="988" ht="12.7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</row>
    <row r="989" ht="12.7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</row>
    <row r="990" ht="12.7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</row>
    <row r="991" ht="12.7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</row>
    <row r="992" ht="12.7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</row>
    <row r="993" ht="12.7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</row>
    <row r="994" ht="12.7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</row>
    <row r="995" ht="12.7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</row>
    <row r="996" ht="12.7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</row>
    <row r="997" ht="12.7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</row>
    <row r="998" ht="12.7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</row>
    <row r="999" ht="12.7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</row>
    <row r="1000" ht="12.7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</row>
  </sheetData>
  <conditionalFormatting sqref="B11:C22">
    <cfRule type="expression" priority="1" dxfId="32">
      <formula>($A11=1)</formula>
    </cfRule>
  </conditionalFormatting>
  <conditionalFormatting sqref="D26:D30">
    <cfRule type="containsText" priority="10" operator="containsText" dxfId="7" text="Overdue">
      <formula>NOT(ISERROR(SEARCH(("Overdue"),(D26))))</formula>
    </cfRule>
    <cfRule type="containsText" priority="11" operator="containsText" dxfId="6" text="On Hold">
      <formula>NOT(ISERROR(SEARCH(("On Hold"),(D26))))</formula>
    </cfRule>
    <cfRule type="containsText" priority="12" operator="containsText" dxfId="5" text="Complete">
      <formula>NOT(ISERROR(SEARCH(("Complete"),(D26))))</formula>
    </cfRule>
    <cfRule type="containsText" priority="13" operator="containsText" dxfId="4" text="In Progress">
      <formula>NOT(ISERROR(SEARCH(("In Progress"),(D26))))</formula>
    </cfRule>
    <cfRule type="containsText" priority="14" operator="containsText" dxfId="3" text="Not Started">
      <formula>NOT(ISERROR(SEARCH(("Not Started"),(D26))))</formula>
    </cfRule>
  </conditionalFormatting>
  <conditionalFormatting sqref="D35:D38">
    <cfRule type="containsText" priority="15" operator="containsText" dxfId="2" text="Low">
      <formula>NOT(ISERROR(SEARCH(("Low"),(D35))))</formula>
    </cfRule>
    <cfRule type="containsText" priority="16" operator="containsText" dxfId="1" text="Medium">
      <formula>NOT(ISERROR(SEARCH(("Medium"),(D35))))</formula>
    </cfRule>
    <cfRule type="containsText" priority="17" operator="containsText" dxfId="0" text="High">
      <formula>NOT(ISERROR(SEARCH(("High"),(D35))))</formula>
    </cfRule>
  </conditionalFormatting>
  <conditionalFormatting sqref="I11:I22 M11:M15">
    <cfRule type="containsText" priority="2" operator="containsText" dxfId="7" text="Overdue">
      <formula>NOT(ISERROR(SEARCH(("Overdue"),(I11))))</formula>
    </cfRule>
    <cfRule type="containsText" priority="3" operator="containsText" dxfId="6" text="On Hold">
      <formula>NOT(ISERROR(SEARCH(("On Hold"),(I11))))</formula>
    </cfRule>
    <cfRule type="containsText" priority="4" operator="containsText" dxfId="5" text="Complete">
      <formula>NOT(ISERROR(SEARCH(("Complete"),(I11))))</formula>
    </cfRule>
    <cfRule type="containsText" priority="5" operator="containsText" dxfId="4" text="In Progress">
      <formula>NOT(ISERROR(SEARCH(("In Progress"),(I11))))</formula>
    </cfRule>
    <cfRule type="containsText" priority="6" operator="containsText" dxfId="3" text="Not Started">
      <formula>NOT(ISERROR(SEARCH(("Not Started"),(I11))))</formula>
    </cfRule>
  </conditionalFormatting>
  <conditionalFormatting sqref="J11:J22 O11:O14">
    <cfRule type="containsText" priority="7" operator="containsText" dxfId="2" text="Low">
      <formula>NOT(ISERROR(SEARCH(("Low"),(J11))))</formula>
    </cfRule>
    <cfRule type="containsText" priority="8" operator="containsText" dxfId="1" text="Medium">
      <formula>NOT(ISERROR(SEARCH(("Medium"),(J11))))</formula>
    </cfRule>
    <cfRule type="containsText" priority="9" operator="containsText" dxfId="0" text="High">
      <formula>NOT(ISERROR(SEARCH(("High"),(J11))))</formula>
    </cfRule>
  </conditionalFormatting>
  <dataValidations count="3">
    <dataValidation sqref="J11:J22" showDropDown="0" showInputMessage="0" showErrorMessage="1" allowBlank="1" type="list">
      <formula1>$O$11:$O$14</formula1>
    </dataValidation>
    <dataValidation sqref="I11:I22" showDropDown="0" showInputMessage="0" showErrorMessage="1" allowBlank="1" type="list">
      <formula1>$M$11:$M$15</formula1>
    </dataValidation>
    <dataValidation sqref="B11:B22" showDropDown="0" showInputMessage="0" showErrorMessage="0" allowBlank="1" type="list">
      <formula1>"1,2,3,4,5,6"</formula1>
    </dataValidation>
  </dataValidations>
  <pageMargins left="0.3" right="0.3" top="0.3" bottom="0.3" header="0" footer="0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8496B0"/>
    <outlinePr summaryBelow="1" summaryRight="1"/>
    <pageSetUpPr fitToPage="1"/>
  </sheetPr>
  <dimension ref="A1:AI1000"/>
  <sheetViews>
    <sheetView showGridLines="0" workbookViewId="0">
      <pane ySplit="1" topLeftCell="A10" activePane="bottomLeft" state="frozen"/>
      <selection pane="bottomLeft" activeCell="C61" sqref="C61"/>
    </sheetView>
  </sheetViews>
  <sheetFormatPr baseColWidth="8" defaultColWidth="10.08984375" defaultRowHeight="15" customHeight="1"/>
  <cols>
    <col width="3.453125" customWidth="1" min="1" max="3"/>
    <col width="35.7265625" customWidth="1" min="4" max="4"/>
    <col width="20.7265625" customWidth="1" min="5" max="5"/>
    <col width="10.7265625" customWidth="1" min="6" max="7"/>
    <col width="17.7265625" customWidth="1" min="8" max="8"/>
    <col width="20.7265625" customWidth="1" min="9" max="10"/>
    <col width="50.7265625" customWidth="1" min="11" max="11"/>
    <col width="3.453125" customWidth="1" min="12" max="12"/>
    <col width="12.7265625" customWidth="1" min="13" max="13"/>
    <col width="3.453125" customWidth="1" min="14" max="14"/>
    <col width="12.7265625" customWidth="1" min="15" max="15"/>
    <col width="3.453125" customWidth="1" min="16" max="16"/>
    <col width="11" customWidth="1" min="17" max="19"/>
    <col width="9" customWidth="1" min="20" max="20"/>
    <col width="11" customWidth="1" min="21" max="35"/>
  </cols>
  <sheetData>
    <row r="1" ht="45" customHeight="1">
      <c r="A1" s="1" t="n"/>
      <c r="B1" s="1" t="n"/>
      <c r="C1" s="1" t="n"/>
      <c r="D1" s="2" t="inlineStr">
        <is>
          <t>MẪU DASHBOARD BÁO CÁO DỰ ÁN</t>
        </is>
      </c>
      <c r="E1" s="3" t="n"/>
      <c r="F1" s="3" t="n"/>
      <c r="G1" s="3" t="n"/>
      <c r="H1" s="3" t="n"/>
      <c r="I1" s="3" t="n"/>
      <c r="J1" s="3" t="n"/>
      <c r="K1" s="3" t="n"/>
      <c r="L1" s="1" t="n"/>
      <c r="M1" s="3" t="n"/>
      <c r="N1" s="1" t="n"/>
      <c r="O1" s="3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4" t="n"/>
      <c r="AG1" s="4" t="n"/>
      <c r="AH1" s="4" t="n"/>
      <c r="AI1" s="4" t="n"/>
    </row>
    <row r="2" ht="24.75" customHeight="1">
      <c r="A2" s="5" t="n"/>
      <c r="B2" s="5" t="n"/>
      <c r="C2" s="5" t="n"/>
      <c r="D2" s="6" t="inlineStr">
        <is>
          <t>TÊN DỰ ÁN</t>
        </is>
      </c>
      <c r="E2" s="7" t="n"/>
      <c r="F2" s="6" t="n"/>
      <c r="G2" s="6" t="n"/>
      <c r="H2" s="8" t="inlineStr">
        <is>
          <t>NGÀY</t>
        </is>
      </c>
      <c r="I2" s="9" t="inlineStr">
        <is>
          <t>TRẠNG THÁI DỰ ÁN</t>
        </is>
      </c>
      <c r="J2" s="8" t="inlineStr">
        <is>
          <t>% HOÀN THIỆN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10" t="n"/>
      <c r="AG2" s="10" t="n"/>
      <c r="AH2" s="10" t="n"/>
      <c r="AI2" s="10" t="n"/>
    </row>
    <row r="3" ht="34.5" customHeight="1">
      <c r="A3" s="1" t="n"/>
      <c r="B3" s="1" t="n"/>
      <c r="C3" s="1" t="n"/>
      <c r="D3" s="11" t="n"/>
      <c r="E3" s="12" t="n"/>
      <c r="F3" s="12" t="n"/>
      <c r="G3" s="13" t="n"/>
      <c r="H3" s="14" t="inlineStr">
        <is>
          <t>00/00/00</t>
        </is>
      </c>
      <c r="I3" s="15" t="n"/>
      <c r="J3" s="16" t="n">
        <v>1</v>
      </c>
      <c r="K3" s="65" t="inlineStr">
        <is>
          <t>Nhập DỮ LIỆU BẢNG ĐIỀU KHIỂN vào các bảng bắt đầu từ hàng 8. Đồ họa trên trang tổng quan sẽ tự động được điền.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4" t="n"/>
      <c r="AG3" s="4" t="n"/>
      <c r="AH3" s="4" t="n"/>
      <c r="AI3" s="4" t="n"/>
    </row>
    <row r="4" ht="34.5" customHeight="1">
      <c r="A4" s="1" t="n"/>
      <c r="B4" s="1" t="n"/>
      <c r="C4" s="1" t="n"/>
      <c r="D4" s="17" t="inlineStr">
        <is>
          <t>TIMELINE NHIỆM VỤ</t>
        </is>
      </c>
      <c r="E4" s="18" t="n"/>
      <c r="F4" s="18" t="n"/>
      <c r="G4" s="18" t="n"/>
      <c r="H4" s="19" t="n"/>
      <c r="I4" s="20" t="n"/>
      <c r="J4" s="2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4" t="n"/>
      <c r="AG4" s="4" t="n"/>
      <c r="AH4" s="4" t="n"/>
      <c r="AI4" s="4" t="n"/>
    </row>
    <row r="5" ht="408.7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4" t="n"/>
      <c r="AG5" s="4" t="n"/>
      <c r="AH5" s="4" t="n"/>
      <c r="AI5" s="4" t="n"/>
    </row>
    <row r="6" ht="322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4" t="n"/>
      <c r="AG6" s="4" t="n"/>
      <c r="AH6" s="4" t="n"/>
      <c r="AI6" s="4" t="n"/>
    </row>
    <row r="7" ht="12.7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4" t="n"/>
      <c r="AG7" s="4" t="n"/>
      <c r="AH7" s="4" t="n"/>
      <c r="AI7" s="4" t="n"/>
    </row>
    <row r="8" ht="34.5" customHeight="1">
      <c r="A8" s="1" t="n"/>
      <c r="B8" s="1" t="n"/>
      <c r="C8" s="1" t="n"/>
      <c r="D8" s="66" t="inlineStr">
        <is>
          <t>DỮ LIỆU DASHBOARD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 ht="24.75" customHeight="1">
      <c r="A9" s="1" t="n"/>
      <c r="B9" s="1" t="n"/>
      <c r="C9" s="1" t="n"/>
      <c r="D9" s="23" t="inlineStr">
        <is>
          <t>BẢNG NHIỆM VỤ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34.5" customHeight="1">
      <c r="A10" s="24" t="n"/>
      <c r="B10" s="25" t="inlineStr">
        <is>
          <t>Level</t>
        </is>
      </c>
      <c r="C10" s="25" t="inlineStr">
        <is>
          <t>Task ID</t>
        </is>
      </c>
      <c r="D10" s="25" t="inlineStr">
        <is>
          <t>TASK NAME</t>
        </is>
      </c>
      <c r="E10" s="25" t="inlineStr">
        <is>
          <t>ASSIGNED TO</t>
        </is>
      </c>
      <c r="F10" s="26" t="inlineStr">
        <is>
          <t>NGÀY BẮT ĐẦU</t>
        </is>
      </c>
      <c r="G10" s="26" t="inlineStr">
        <is>
          <t>NGÀY KẾT THÚC</t>
        </is>
      </c>
      <c r="H10" s="27" t="inlineStr">
        <is>
          <t>KHOẢNG THỜI GIAN</t>
        </is>
      </c>
      <c r="I10" s="25" t="inlineStr">
        <is>
          <t>TÌNH TRẠNG</t>
        </is>
      </c>
      <c r="J10" s="25" t="inlineStr">
        <is>
          <t>MỨC ƯU TIÊN</t>
        </is>
      </c>
      <c r="K10" s="25" t="inlineStr">
        <is>
          <t>BÌNH LUẬN</t>
        </is>
      </c>
      <c r="L10" s="24" t="n"/>
      <c r="M10" s="25" t="inlineStr">
        <is>
          <t>TÌNH TRẠNG</t>
        </is>
      </c>
      <c r="N10" s="24" t="n"/>
      <c r="O10" s="25" t="inlineStr">
        <is>
          <t>MỨC ƯU TIÊN</t>
        </is>
      </c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</row>
    <row r="11" ht="22.5" customHeight="1">
      <c r="A11" s="24" t="n"/>
      <c r="B11" s="24" t="n"/>
      <c r="C11" s="24" t="n"/>
      <c r="D11" s="28" t="inlineStr">
        <is>
          <t>Task 1</t>
        </is>
      </c>
      <c r="E11" s="29" t="n"/>
      <c r="F11" s="30" t="n"/>
      <c r="G11" s="30" t="n"/>
      <c r="H11" s="31">
        <f>IF(F11=0,0,G11-F11)</f>
        <v/>
      </c>
      <c r="I11" s="29" t="n"/>
      <c r="J11" s="29" t="n"/>
      <c r="K11" s="29" t="n"/>
      <c r="L11" s="32" t="n"/>
      <c r="M11" s="33" t="inlineStr">
        <is>
          <t>Not Started</t>
        </is>
      </c>
      <c r="N11" s="24" t="n"/>
      <c r="O11" s="34" t="inlineStr">
        <is>
          <t>High</t>
        </is>
      </c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</row>
    <row r="12" ht="22.5" customHeight="1">
      <c r="A12" s="24" t="n"/>
      <c r="B12" s="24" t="n"/>
      <c r="C12" s="24" t="n"/>
      <c r="D12" s="28" t="inlineStr">
        <is>
          <t>Task 2</t>
        </is>
      </c>
      <c r="E12" s="35" t="n"/>
      <c r="F12" s="36" t="n"/>
      <c r="G12" s="36" t="n"/>
      <c r="H12" s="31">
        <f>IF(F12=0,0,G12-F12)</f>
        <v/>
      </c>
      <c r="I12" s="28" t="n"/>
      <c r="J12" s="28" t="n"/>
      <c r="K12" s="29" t="n"/>
      <c r="L12" s="32" t="n"/>
      <c r="M12" s="28" t="inlineStr">
        <is>
          <t>In Progress</t>
        </is>
      </c>
      <c r="N12" s="24" t="n"/>
      <c r="O12" s="37" t="inlineStr">
        <is>
          <t>Medium</t>
        </is>
      </c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</row>
    <row r="13" ht="22.5" customHeight="1">
      <c r="A13" s="24" t="n"/>
      <c r="B13" s="24" t="n"/>
      <c r="C13" s="24" t="n"/>
      <c r="D13" s="28" t="inlineStr">
        <is>
          <t>Task 3</t>
        </is>
      </c>
      <c r="E13" s="35" t="n"/>
      <c r="F13" s="36" t="n"/>
      <c r="G13" s="36" t="n"/>
      <c r="H13" s="31">
        <f>IF(F13=0,0,G13-F13)</f>
        <v/>
      </c>
      <c r="I13" s="28" t="n"/>
      <c r="J13" s="28" t="n"/>
      <c r="K13" s="29" t="n"/>
      <c r="L13" s="32" t="n"/>
      <c r="M13" s="28" t="inlineStr">
        <is>
          <t>Complete</t>
        </is>
      </c>
      <c r="N13" s="24" t="n"/>
      <c r="O13" s="38" t="inlineStr">
        <is>
          <t>Low</t>
        </is>
      </c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</row>
    <row r="14" ht="22.5" customHeight="1">
      <c r="A14" s="24" t="n"/>
      <c r="B14" s="24" t="n"/>
      <c r="C14" s="24" t="n"/>
      <c r="D14" s="28" t="inlineStr">
        <is>
          <t>Task 4</t>
        </is>
      </c>
      <c r="E14" s="39" t="n"/>
      <c r="F14" s="36" t="n"/>
      <c r="G14" s="36" t="n"/>
      <c r="H14" s="31">
        <f>IF(F14=0,0,G14-F14)</f>
        <v/>
      </c>
      <c r="I14" s="28" t="n"/>
      <c r="J14" s="28" t="n"/>
      <c r="K14" s="29" t="n"/>
      <c r="L14" s="32" t="n"/>
      <c r="M14" s="39" t="inlineStr">
        <is>
          <t>Overdue</t>
        </is>
      </c>
      <c r="N14" s="24" t="n"/>
      <c r="O14" s="39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</row>
    <row r="15" ht="22.5" customHeight="1">
      <c r="A15" s="24" t="n"/>
      <c r="B15" s="24" t="n"/>
      <c r="C15" s="24" t="n"/>
      <c r="D15" s="28" t="inlineStr">
        <is>
          <t>Task 5</t>
        </is>
      </c>
      <c r="E15" s="35" t="n"/>
      <c r="F15" s="36" t="n"/>
      <c r="G15" s="36" t="n"/>
      <c r="H15" s="31">
        <f>IF(F15=0,0,G15-F15)</f>
        <v/>
      </c>
      <c r="I15" s="28" t="n"/>
      <c r="J15" s="28" t="n"/>
      <c r="K15" s="29" t="n"/>
      <c r="L15" s="24" t="n"/>
      <c r="M15" s="39" t="inlineStr">
        <is>
          <t>On Hold</t>
        </is>
      </c>
      <c r="N15" s="24" t="n"/>
      <c r="O15" s="1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</row>
    <row r="16" ht="22.5" customHeight="1">
      <c r="A16" s="24" t="n"/>
      <c r="B16" s="24" t="n"/>
      <c r="C16" s="24" t="n"/>
      <c r="D16" s="28" t="inlineStr">
        <is>
          <t>Task 6</t>
        </is>
      </c>
      <c r="E16" s="35" t="n"/>
      <c r="F16" s="36" t="n"/>
      <c r="G16" s="36" t="n"/>
      <c r="H16" s="31">
        <f>IF(F16=0,0,G16-F16)</f>
        <v/>
      </c>
      <c r="I16" s="28" t="n"/>
      <c r="J16" s="28" t="n"/>
      <c r="K16" s="29" t="n"/>
      <c r="L16" s="24" t="n"/>
      <c r="M16" s="1" t="n"/>
      <c r="N16" s="24" t="n"/>
      <c r="O16" s="1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</row>
    <row r="17" ht="22.5" customHeight="1">
      <c r="A17" s="24" t="n"/>
      <c r="B17" s="24" t="n"/>
      <c r="C17" s="24" t="n"/>
      <c r="D17" s="28" t="inlineStr">
        <is>
          <t>Task 7</t>
        </is>
      </c>
      <c r="E17" s="40" t="n"/>
      <c r="F17" s="36" t="n"/>
      <c r="G17" s="30" t="n"/>
      <c r="H17" s="31">
        <f>IF(F17=0,0,G17-F17)</f>
        <v/>
      </c>
      <c r="I17" s="28" t="n"/>
      <c r="J17" s="28" t="n"/>
      <c r="K17" s="29" t="n"/>
      <c r="L17" s="24" t="n"/>
      <c r="M17" s="1" t="n"/>
      <c r="N17" s="24" t="n"/>
      <c r="O17" s="1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</row>
    <row r="18" ht="22.5" customHeight="1">
      <c r="A18" s="24" t="n"/>
      <c r="B18" s="24" t="n"/>
      <c r="C18" s="24" t="n"/>
      <c r="D18" s="28" t="inlineStr">
        <is>
          <t>Task 8</t>
        </is>
      </c>
      <c r="E18" s="40" t="n"/>
      <c r="F18" s="36" t="n"/>
      <c r="G18" s="30" t="n"/>
      <c r="H18" s="31">
        <f>IF(F18=0,0,G18-F18)</f>
        <v/>
      </c>
      <c r="I18" s="28" t="n"/>
      <c r="J18" s="28" t="n"/>
      <c r="K18" s="29" t="n"/>
      <c r="L18" s="24" t="n"/>
      <c r="M18" s="1" t="n"/>
      <c r="N18" s="24" t="n"/>
      <c r="O18" s="1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</row>
    <row r="19" ht="22.5" customHeight="1">
      <c r="A19" s="24" t="n"/>
      <c r="B19" s="24" t="n"/>
      <c r="C19" s="24" t="n"/>
      <c r="D19" s="28" t="inlineStr">
        <is>
          <t>Task 9</t>
        </is>
      </c>
      <c r="E19" s="40" t="n"/>
      <c r="F19" s="36" t="n"/>
      <c r="G19" s="30" t="n"/>
      <c r="H19" s="31">
        <f>IF(F19=0,0,G19-F19)</f>
        <v/>
      </c>
      <c r="I19" s="28" t="n"/>
      <c r="J19" s="28" t="n"/>
      <c r="K19" s="29" t="n"/>
      <c r="L19" s="24" t="n"/>
      <c r="M19" s="1" t="n"/>
      <c r="N19" s="24" t="n"/>
      <c r="O19" s="1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</row>
    <row r="20" ht="22.5" customHeight="1">
      <c r="A20" s="24" t="n"/>
      <c r="B20" s="24" t="n"/>
      <c r="C20" s="24" t="n"/>
      <c r="D20" s="28" t="inlineStr">
        <is>
          <t>Task 10</t>
        </is>
      </c>
      <c r="E20" s="40" t="n"/>
      <c r="F20" s="36" t="n"/>
      <c r="G20" s="30" t="n"/>
      <c r="H20" s="31">
        <f>IF(F20=0,0,G20-F20)</f>
        <v/>
      </c>
      <c r="I20" s="28" t="n"/>
      <c r="J20" s="28" t="n"/>
      <c r="K20" s="29" t="n"/>
      <c r="L20" s="24" t="n"/>
      <c r="M20" s="1" t="n"/>
      <c r="N20" s="24" t="n"/>
      <c r="O20" s="1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</row>
    <row r="21" ht="22.5" customHeight="1">
      <c r="A21" s="24" t="n"/>
      <c r="B21" s="24" t="n"/>
      <c r="C21" s="24" t="n"/>
      <c r="D21" s="28" t="inlineStr">
        <is>
          <t>Task 11</t>
        </is>
      </c>
      <c r="E21" s="40" t="n"/>
      <c r="F21" s="36" t="n"/>
      <c r="G21" s="30" t="n"/>
      <c r="H21" s="31">
        <f>IF(F21=0,0,G21-F21)</f>
        <v/>
      </c>
      <c r="I21" s="28" t="n"/>
      <c r="J21" s="28" t="n"/>
      <c r="K21" s="29" t="n"/>
      <c r="L21" s="24" t="n"/>
      <c r="M21" s="1" t="n"/>
      <c r="N21" s="24" t="n"/>
      <c r="O21" s="1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</row>
    <row r="22" ht="22.5" customHeight="1">
      <c r="A22" s="24" t="n"/>
      <c r="B22" s="24" t="n"/>
      <c r="C22" s="24" t="n"/>
      <c r="D22" s="28" t="inlineStr">
        <is>
          <t>Task 12</t>
        </is>
      </c>
      <c r="E22" s="40" t="n"/>
      <c r="F22" s="36" t="n"/>
      <c r="G22" s="30" t="n"/>
      <c r="H22" s="31">
        <f>IF(F22=0,0,G22-F22)</f>
        <v/>
      </c>
      <c r="I22" s="28" t="n"/>
      <c r="J22" s="28" t="n"/>
      <c r="K22" s="29" t="n"/>
      <c r="L22" s="24" t="n"/>
      <c r="M22" s="1" t="n"/>
      <c r="N22" s="24" t="n"/>
      <c r="O22" s="1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</row>
    <row r="23" ht="22.5" customHeight="1">
      <c r="A23" s="24" t="n"/>
      <c r="B23" s="24" t="n"/>
      <c r="C23" s="24" t="n"/>
      <c r="D23" s="28" t="inlineStr">
        <is>
          <t>Task 13</t>
        </is>
      </c>
      <c r="E23" s="40" t="n"/>
      <c r="F23" s="36" t="n"/>
      <c r="G23" s="30" t="n"/>
      <c r="H23" s="31">
        <f>IF(F23=0,0,G23-F23)</f>
        <v/>
      </c>
      <c r="I23" s="28" t="n"/>
      <c r="J23" s="28" t="n"/>
      <c r="K23" s="29" t="n"/>
      <c r="L23" s="24" t="n"/>
      <c r="M23" s="1" t="n"/>
      <c r="N23" s="1" t="n"/>
      <c r="O23" s="1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</row>
    <row r="24" ht="22.5" customHeight="1">
      <c r="A24" s="24" t="n"/>
      <c r="B24" s="24" t="n"/>
      <c r="C24" s="24" t="n"/>
      <c r="D24" s="28" t="inlineStr">
        <is>
          <t>Task 14</t>
        </is>
      </c>
      <c r="E24" s="40" t="n"/>
      <c r="F24" s="36" t="n"/>
      <c r="G24" s="30" t="n"/>
      <c r="H24" s="31">
        <f>IF(F24=0,0,G24-F24)</f>
        <v/>
      </c>
      <c r="I24" s="28" t="n"/>
      <c r="J24" s="28" t="n"/>
      <c r="K24" s="29" t="n"/>
      <c r="L24" s="24" t="n"/>
      <c r="M24" s="1" t="n"/>
      <c r="N24" s="1" t="n"/>
      <c r="O24" s="1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</row>
    <row r="25" ht="22.5" customHeight="1">
      <c r="A25" s="24" t="n"/>
      <c r="B25" s="24" t="n"/>
      <c r="C25" s="24" t="n"/>
      <c r="D25" s="28" t="inlineStr">
        <is>
          <t>Task 15</t>
        </is>
      </c>
      <c r="E25" s="39" t="n"/>
      <c r="F25" s="36" t="n"/>
      <c r="G25" s="30" t="n"/>
      <c r="H25" s="31">
        <f>IF(F25=0,0,G25-F25)</f>
        <v/>
      </c>
      <c r="I25" s="28" t="n"/>
      <c r="J25" s="28" t="n"/>
      <c r="K25" s="29" t="n"/>
      <c r="L25" s="24" t="n"/>
      <c r="M25" s="1" t="n"/>
      <c r="N25" s="1" t="n"/>
      <c r="O25" s="1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</row>
    <row r="26" ht="22.5" customHeight="1">
      <c r="A26" s="24" t="n"/>
      <c r="B26" s="24" t="n"/>
      <c r="C26" s="24" t="n"/>
      <c r="D26" s="28" t="inlineStr">
        <is>
          <t>Task 16</t>
        </is>
      </c>
      <c r="E26" s="39" t="n"/>
      <c r="F26" s="36" t="n"/>
      <c r="G26" s="30" t="n"/>
      <c r="H26" s="31">
        <f>IF(F26=0,0,G26-F26)</f>
        <v/>
      </c>
      <c r="I26" s="28" t="n"/>
      <c r="J26" s="28" t="n"/>
      <c r="K26" s="29" t="n"/>
      <c r="L26" s="24" t="n"/>
      <c r="M26" s="1" t="n"/>
      <c r="N26" s="1" t="n"/>
      <c r="O26" s="1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</row>
    <row r="27" ht="22.5" customHeight="1">
      <c r="A27" s="24" t="n"/>
      <c r="B27" s="24" t="n"/>
      <c r="C27" s="24" t="n"/>
      <c r="D27" s="28" t="inlineStr">
        <is>
          <t>Task 17</t>
        </is>
      </c>
      <c r="E27" s="39" t="n"/>
      <c r="F27" s="36" t="n"/>
      <c r="G27" s="30" t="n"/>
      <c r="H27" s="31">
        <f>IF(F27=0,0,G27-F27)</f>
        <v/>
      </c>
      <c r="I27" s="28" t="n"/>
      <c r="J27" s="28" t="n"/>
      <c r="K27" s="29" t="n"/>
      <c r="L27" s="24" t="n"/>
      <c r="M27" s="1" t="n"/>
      <c r="N27" s="1" t="n"/>
      <c r="O27" s="1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</row>
    <row r="28" ht="22.5" customHeight="1">
      <c r="A28" s="24" t="n"/>
      <c r="B28" s="24" t="n"/>
      <c r="C28" s="24" t="n"/>
      <c r="D28" s="28" t="inlineStr">
        <is>
          <t>Task 18</t>
        </is>
      </c>
      <c r="E28" s="39" t="n"/>
      <c r="F28" s="36" t="n"/>
      <c r="G28" s="30" t="n"/>
      <c r="H28" s="31">
        <f>IF(F28=0,0,G28-F28)</f>
        <v/>
      </c>
      <c r="I28" s="28" t="n"/>
      <c r="J28" s="28" t="n"/>
      <c r="K28" s="29" t="n"/>
      <c r="L28" s="24" t="n"/>
      <c r="M28" s="1" t="n"/>
      <c r="N28" s="1" t="n"/>
      <c r="O28" s="1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</row>
    <row r="29" ht="22.5" customHeight="1">
      <c r="A29" s="24" t="n"/>
      <c r="B29" s="24" t="n"/>
      <c r="C29" s="24" t="n"/>
      <c r="D29" s="28" t="inlineStr">
        <is>
          <t>Task 19</t>
        </is>
      </c>
      <c r="E29" s="39" t="n"/>
      <c r="F29" s="36" t="n"/>
      <c r="G29" s="30" t="n"/>
      <c r="H29" s="31">
        <f>IF(F29=0,0,G29-F29)</f>
        <v/>
      </c>
      <c r="I29" s="28" t="n"/>
      <c r="J29" s="28" t="n"/>
      <c r="K29" s="29" t="n"/>
      <c r="L29" s="24" t="n"/>
      <c r="M29" s="1" t="n"/>
      <c r="N29" s="1" t="n"/>
      <c r="O29" s="1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</row>
    <row r="30" ht="22.5" customHeight="1">
      <c r="A30" s="24" t="n"/>
      <c r="B30" s="24" t="n"/>
      <c r="C30" s="24" t="n"/>
      <c r="D30" s="28" t="inlineStr">
        <is>
          <t>Task 20</t>
        </is>
      </c>
      <c r="E30" s="39" t="n"/>
      <c r="F30" s="36" t="n"/>
      <c r="G30" s="30" t="n"/>
      <c r="H30" s="31">
        <f>IF(F30=0,0,G30-F30)</f>
        <v/>
      </c>
      <c r="I30" s="28" t="n"/>
      <c r="J30" s="28" t="n"/>
      <c r="K30" s="29" t="n"/>
      <c r="L30" s="24" t="n"/>
      <c r="M30" s="1" t="n"/>
      <c r="N30" s="1" t="n"/>
      <c r="O30" s="1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</row>
    <row r="31" ht="12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 ht="24.75" customHeight="1">
      <c r="A32" s="1" t="n"/>
      <c r="B32" s="1" t="n"/>
      <c r="C32" s="1" t="n"/>
      <c r="D32" s="23" t="inlineStr">
        <is>
          <t>TÌNH TRẠNG NHIỆM VỤ %</t>
        </is>
      </c>
      <c r="E32" s="1" t="n"/>
      <c r="F32" s="1" t="n"/>
      <c r="G32" s="1" t="n"/>
      <c r="H32" s="23" t="inlineStr">
        <is>
          <t>NGÂN SÁCH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 ht="22.5" customHeight="1">
      <c r="A33" s="41" t="n"/>
      <c r="B33" s="41" t="n"/>
      <c r="C33" s="41" t="n"/>
      <c r="D33" s="42" t="inlineStr">
        <is>
          <t>STATUS</t>
        </is>
      </c>
      <c r="E33" s="43" t="inlineStr">
        <is>
          <t>SỐ LƯỢNG</t>
        </is>
      </c>
      <c r="F33" s="43" t="inlineStr">
        <is>
          <t>%</t>
        </is>
      </c>
      <c r="G33" s="41" t="n"/>
      <c r="H33" s="44" t="inlineStr">
        <is>
          <t>DỰ KIẾN</t>
        </is>
      </c>
      <c r="I33" s="45" t="n">
        <v>0</v>
      </c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</row>
    <row r="34" ht="22.5" customHeight="1">
      <c r="A34" s="41" t="n"/>
      <c r="B34" s="41" t="n"/>
      <c r="C34" s="41" t="n"/>
      <c r="D34" s="46" t="inlineStr">
        <is>
          <t>Not Started (Chưa bắt đầu)</t>
        </is>
      </c>
      <c r="E34" s="47">
        <f>COUNTIF(I11:I30, "Not Started")</f>
        <v/>
      </c>
      <c r="F34" s="48">
        <f>IFERROR(E34/E39,"")</f>
        <v/>
      </c>
      <c r="G34" s="41" t="n"/>
      <c r="H34" s="49" t="inlineStr">
        <is>
          <t>THỰC TẾ</t>
        </is>
      </c>
      <c r="I34" s="50" t="n">
        <v>0</v>
      </c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</row>
    <row r="35" ht="22.5" customHeight="1">
      <c r="A35" s="41" t="n"/>
      <c r="B35" s="41" t="n"/>
      <c r="C35" s="41" t="n"/>
      <c r="D35" s="51" t="inlineStr">
        <is>
          <t>In Progress (Đang làm)</t>
        </is>
      </c>
      <c r="E35" s="47">
        <f>COUNTIF(I11:I30, "In Progress")</f>
        <v/>
      </c>
      <c r="F35" s="48">
        <f>IFERROR(E35/E39,"")</f>
        <v/>
      </c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</row>
    <row r="36" ht="22.5" customHeight="1">
      <c r="A36" s="41" t="n"/>
      <c r="B36" s="41" t="n"/>
      <c r="C36" s="41" t="n"/>
      <c r="D36" s="52" t="inlineStr">
        <is>
          <t>Complete (Hoàn thiện)</t>
        </is>
      </c>
      <c r="E36" s="47">
        <f>COUNTIF(I11:I30, "Complete")</f>
        <v/>
      </c>
      <c r="F36" s="48">
        <f>IFERROR(E36/E39,"")</f>
        <v/>
      </c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</row>
    <row r="37" ht="22.5" customHeight="1">
      <c r="A37" s="41" t="n"/>
      <c r="B37" s="41" t="n"/>
      <c r="C37" s="41" t="n"/>
      <c r="D37" s="53" t="inlineStr">
        <is>
          <t>Overdue (Qúa hạn)</t>
        </is>
      </c>
      <c r="E37" s="47">
        <f>COUNTIF(I11:I30, "Overdue")</f>
        <v/>
      </c>
      <c r="F37" s="48">
        <f>IFERROR(E37/E39,"")</f>
        <v/>
      </c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</row>
    <row r="38" ht="22.5" customHeight="1">
      <c r="A38" s="41" t="n"/>
      <c r="B38" s="41" t="n"/>
      <c r="C38" s="41" t="n"/>
      <c r="D38" s="54" t="inlineStr">
        <is>
          <t>On Hold (Đang chờ)</t>
        </is>
      </c>
      <c r="E38" s="55">
        <f>COUNTIF(I11:I30, "On Hold")</f>
        <v/>
      </c>
      <c r="F38" s="56">
        <f>IFERROR(E38/E39,"")</f>
        <v/>
      </c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</row>
    <row r="39" ht="22.5" customHeight="1">
      <c r="A39" s="41" t="n"/>
      <c r="B39" s="41" t="n"/>
      <c r="C39" s="41" t="n"/>
      <c r="D39" s="57" t="inlineStr">
        <is>
          <t>TOTAL</t>
        </is>
      </c>
      <c r="E39" s="58">
        <f>SUM(E34:E38)</f>
        <v/>
      </c>
      <c r="F39" s="59">
        <f>SUM(F34:F38)</f>
        <v/>
      </c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</row>
    <row r="40" ht="12.75" customHeight="1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</row>
    <row r="41" ht="24.75" customHeight="1">
      <c r="A41" s="1" t="n"/>
      <c r="B41" s="1" t="n"/>
      <c r="C41" s="1" t="n"/>
      <c r="D41" s="23" t="inlineStr">
        <is>
          <t>MỨC ĐỘ ƯU TIÊN %</t>
        </is>
      </c>
      <c r="E41" s="5" t="inlineStr">
        <is>
          <t>Tự động tính</t>
        </is>
      </c>
      <c r="F41" s="1" t="n"/>
      <c r="G41" s="1" t="n"/>
      <c r="H41" s="60" t="inlineStr">
        <is>
          <t>PENDING ITEMS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22.5" customHeight="1">
      <c r="A42" s="41" t="n"/>
      <c r="B42" s="41" t="n"/>
      <c r="C42" s="41" t="n"/>
      <c r="D42" s="42" t="inlineStr">
        <is>
          <t>Mức độ ưu tiên</t>
        </is>
      </c>
      <c r="E42" s="43" t="inlineStr">
        <is>
          <t>SỐ LƯỢNG</t>
        </is>
      </c>
      <c r="F42" s="43" t="inlineStr">
        <is>
          <t>%</t>
        </is>
      </c>
      <c r="G42" s="41" t="n"/>
      <c r="H42" s="61" t="inlineStr">
        <is>
          <t>Decisions</t>
        </is>
      </c>
      <c r="I42" s="45" t="n">
        <v>0</v>
      </c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</row>
    <row r="43" ht="22.5" customHeight="1">
      <c r="A43" s="41" t="n"/>
      <c r="B43" s="41" t="n"/>
      <c r="C43" s="41" t="n"/>
      <c r="D43" s="34" t="inlineStr">
        <is>
          <t>High</t>
        </is>
      </c>
      <c r="E43" s="47">
        <f>COUNTIF(J11:J30, "High")</f>
        <v/>
      </c>
      <c r="F43" s="48">
        <f>IFERROR(E43/E47,"")</f>
        <v/>
      </c>
      <c r="G43" s="41" t="n"/>
      <c r="H43" s="62" t="inlineStr">
        <is>
          <t>Actions</t>
        </is>
      </c>
      <c r="I43" s="45" t="n">
        <v>0</v>
      </c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 ht="22.5" customHeight="1">
      <c r="A44" s="41" t="n"/>
      <c r="B44" s="41" t="n"/>
      <c r="C44" s="41" t="n"/>
      <c r="D44" s="37" t="inlineStr">
        <is>
          <t>Medium</t>
        </is>
      </c>
      <c r="E44" s="47">
        <f>COUNTIF(J11:J30, "Medium")</f>
        <v/>
      </c>
      <c r="F44" s="48">
        <f>IFERROR(E44/E47,"")</f>
        <v/>
      </c>
      <c r="G44" s="41" t="n"/>
      <c r="H44" s="63" t="inlineStr">
        <is>
          <t xml:space="preserve">Change Requests </t>
        </is>
      </c>
      <c r="I44" s="45" t="n">
        <v>0</v>
      </c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  <row r="45" ht="22.5" customHeight="1">
      <c r="A45" s="41" t="n"/>
      <c r="B45" s="41" t="n"/>
      <c r="C45" s="41" t="n"/>
      <c r="D45" s="38" t="inlineStr">
        <is>
          <t>Low</t>
        </is>
      </c>
      <c r="E45" s="47">
        <f>COUNTIF(J11:J30, "Low")</f>
        <v/>
      </c>
      <c r="F45" s="48">
        <f>IFERROR(E45/E47,"")</f>
        <v/>
      </c>
      <c r="G45" s="41" t="n"/>
      <c r="H45" s="1" t="n"/>
      <c r="I45" s="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</row>
    <row r="46" ht="22.5" customHeight="1">
      <c r="A46" s="41" t="n"/>
      <c r="B46" s="41" t="n"/>
      <c r="C46" s="41" t="n"/>
      <c r="D46" s="64" t="n"/>
      <c r="E46" s="55">
        <f>COUNTIF(J11:J30, "...")</f>
        <v/>
      </c>
      <c r="F46" s="56">
        <f>IFERROR(E46/E47,"")</f>
        <v/>
      </c>
      <c r="G46" s="41" t="n"/>
      <c r="H46" s="1" t="n"/>
      <c r="I46" s="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</row>
    <row r="47" ht="22.5" customHeight="1">
      <c r="A47" s="41" t="n"/>
      <c r="B47" s="41" t="n"/>
      <c r="C47" s="41" t="n"/>
      <c r="D47" s="57" t="inlineStr">
        <is>
          <t>TOTAL</t>
        </is>
      </c>
      <c r="E47" s="58">
        <f>SUM(E43:E46)</f>
        <v/>
      </c>
      <c r="F47" s="59">
        <f>SUM(F43:F46)</f>
        <v/>
      </c>
      <c r="G47" s="41" t="n"/>
      <c r="H47" s="1" t="n"/>
      <c r="I47" s="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</row>
    <row r="48" ht="12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2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2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2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2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2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2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2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2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2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2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12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2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2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2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2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2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2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2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</row>
    <row r="67" ht="12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2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2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2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2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2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2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2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2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2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2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2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2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2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2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2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2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2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2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2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2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2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2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2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2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2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2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2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2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2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2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2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2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2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2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2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2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2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2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2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2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2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2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2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2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2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2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2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2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2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2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2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2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2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2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2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2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2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2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2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2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2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2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2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2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2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2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2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2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2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2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2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2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2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2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2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2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2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2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2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2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2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2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2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2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2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2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2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2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2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2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2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2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2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2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2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2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2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2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2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2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2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2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2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2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2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2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2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2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2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2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2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2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2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2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2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2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2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2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2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2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2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2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2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2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2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2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2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2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2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2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2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2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2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2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2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2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2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2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2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2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2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2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2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2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2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2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2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2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2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2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2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2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2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2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2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2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2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2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2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2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2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2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2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2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2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2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2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2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2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2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2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2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2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2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2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2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</row>
    <row r="249" ht="12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</row>
    <row r="250" ht="12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</row>
    <row r="251" ht="12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</row>
    <row r="252" ht="12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</row>
    <row r="253" ht="12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</row>
    <row r="254" ht="12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</row>
    <row r="255" ht="12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</row>
    <row r="256" ht="12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</row>
    <row r="257" ht="12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</row>
    <row r="258" ht="12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</row>
    <row r="259" ht="12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</row>
    <row r="260" ht="12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</row>
    <row r="261" ht="12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</row>
    <row r="262" ht="12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</row>
    <row r="263" ht="12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</row>
    <row r="264" ht="12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</row>
    <row r="265" ht="12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</row>
    <row r="266" ht="12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</row>
    <row r="267" ht="12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</row>
    <row r="268" ht="12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</row>
    <row r="269" ht="12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</row>
    <row r="270" ht="12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</row>
    <row r="271" ht="12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</row>
    <row r="272" ht="12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</row>
    <row r="273" ht="12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</row>
    <row r="274" ht="12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</row>
    <row r="275" ht="12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</row>
    <row r="276" ht="12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</row>
    <row r="277" ht="12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</row>
    <row r="278" ht="12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</row>
    <row r="279" ht="12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</row>
    <row r="280" ht="12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</row>
    <row r="281" ht="12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</row>
    <row r="282" ht="12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</row>
    <row r="283" ht="12.7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</row>
    <row r="284" ht="12.7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</row>
    <row r="285" ht="12.7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</row>
    <row r="286" ht="12.7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</row>
    <row r="287" ht="12.7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</row>
    <row r="288" ht="12.7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</row>
    <row r="289" ht="12.7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</row>
    <row r="290" ht="12.7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</row>
    <row r="291" ht="12.7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</row>
    <row r="292" ht="12.7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</row>
    <row r="293" ht="12.7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</row>
    <row r="294" ht="12.7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</row>
    <row r="295" ht="12.7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</row>
    <row r="296" ht="12.7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</row>
    <row r="297" ht="12.7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</row>
    <row r="298" ht="12.7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</row>
    <row r="299" ht="12.7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</row>
    <row r="300" ht="12.7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</row>
    <row r="301" ht="12.7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</row>
    <row r="302" ht="12.7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</row>
    <row r="303" ht="12.7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</row>
    <row r="304" ht="12.7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</row>
    <row r="305" ht="12.7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</row>
    <row r="306" ht="12.7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</row>
    <row r="307" ht="12.7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</row>
    <row r="308" ht="12.7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</row>
    <row r="309" ht="12.7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</row>
    <row r="310" ht="12.7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</row>
    <row r="311" ht="12.7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</row>
    <row r="312" ht="12.7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</row>
    <row r="313" ht="12.7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</row>
    <row r="314" ht="12.7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</row>
    <row r="315" ht="12.7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</row>
    <row r="316" ht="12.7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</row>
    <row r="317" ht="12.7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</row>
    <row r="318" ht="12.7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</row>
    <row r="319" ht="12.7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</row>
    <row r="320" ht="12.7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</row>
    <row r="321" ht="12.7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</row>
    <row r="322" ht="12.7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</row>
    <row r="323" ht="12.7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</row>
    <row r="324" ht="12.7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</row>
    <row r="325" ht="12.7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</row>
    <row r="326" ht="12.7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</row>
    <row r="327" ht="12.7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</row>
    <row r="328" ht="12.7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</row>
    <row r="329" ht="12.7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</row>
    <row r="330" ht="12.7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</row>
    <row r="331" ht="12.7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</row>
    <row r="332" ht="12.7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</row>
    <row r="333" ht="12.7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</row>
    <row r="334" ht="12.7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</row>
    <row r="335" ht="12.7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</row>
    <row r="336" ht="12.7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</row>
    <row r="337" ht="12.7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</row>
    <row r="338" ht="12.7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</row>
    <row r="339" ht="12.7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</row>
    <row r="340" ht="12.7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</row>
    <row r="341" ht="12.7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</row>
    <row r="342" ht="12.7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</row>
    <row r="343" ht="12.7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</row>
    <row r="344" ht="12.7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</row>
    <row r="345" ht="12.7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</row>
    <row r="346" ht="12.7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</row>
    <row r="347" ht="12.7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</row>
    <row r="348" ht="12.7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</row>
    <row r="349" ht="12.7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</row>
    <row r="350" ht="12.7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</row>
    <row r="351" ht="12.7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</row>
    <row r="352" ht="12.7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</row>
    <row r="353" ht="12.7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</row>
    <row r="354" ht="12.7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</row>
    <row r="355" ht="12.7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</row>
    <row r="356" ht="12.7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</row>
    <row r="357" ht="12.7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</row>
    <row r="358" ht="12.7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</row>
    <row r="359" ht="12.7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</row>
    <row r="360" ht="12.7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</row>
    <row r="361" ht="12.7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</row>
    <row r="362" ht="12.7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</row>
    <row r="363" ht="12.7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</row>
    <row r="364" ht="12.7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</row>
    <row r="365" ht="12.7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</row>
    <row r="366" ht="12.7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</row>
    <row r="367" ht="12.7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</row>
    <row r="368" ht="12.7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</row>
    <row r="369" ht="12.7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</row>
    <row r="370" ht="12.7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</row>
    <row r="371" ht="12.7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</row>
    <row r="372" ht="12.7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</row>
    <row r="373" ht="12.7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</row>
    <row r="374" ht="12.7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</row>
    <row r="375" ht="12.7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</row>
    <row r="376" ht="12.7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</row>
    <row r="377" ht="12.7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</row>
    <row r="378" ht="12.7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</row>
    <row r="379" ht="12.7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</row>
    <row r="380" ht="12.7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</row>
    <row r="381" ht="12.7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</row>
    <row r="382" ht="12.7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</row>
    <row r="383" ht="12.7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</row>
    <row r="384" ht="12.7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</row>
    <row r="385" ht="12.7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</row>
    <row r="386" ht="12.7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</row>
    <row r="387" ht="12.7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</row>
    <row r="388" ht="12.7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</row>
    <row r="389" ht="12.7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</row>
    <row r="390" ht="12.7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</row>
    <row r="391" ht="12.7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</row>
    <row r="392" ht="12.7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</row>
    <row r="393" ht="12.7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</row>
    <row r="394" ht="12.7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</row>
    <row r="395" ht="12.7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</row>
    <row r="396" ht="12.7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</row>
    <row r="397" ht="12.7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</row>
    <row r="398" ht="12.7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</row>
    <row r="399" ht="12.7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</row>
    <row r="400" ht="12.7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</row>
    <row r="401" ht="12.7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</row>
    <row r="402" ht="12.7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</row>
    <row r="403" ht="12.7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</row>
    <row r="404" ht="12.7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</row>
    <row r="405" ht="12.7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</row>
    <row r="406" ht="12.7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</row>
    <row r="407" ht="12.7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</row>
    <row r="408" ht="12.7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</row>
    <row r="409" ht="12.7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</row>
    <row r="410" ht="12.7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</row>
    <row r="411" ht="12.7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</row>
    <row r="412" ht="12.7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</row>
    <row r="413" ht="12.7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</row>
    <row r="414" ht="12.7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</row>
    <row r="415" ht="12.7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</row>
    <row r="416" ht="12.7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</row>
    <row r="417" ht="12.7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</row>
    <row r="418" ht="12.7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</row>
    <row r="419" ht="12.7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</row>
    <row r="420" ht="12.7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</row>
    <row r="421" ht="12.7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</row>
    <row r="422" ht="12.7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</row>
    <row r="423" ht="12.7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</row>
    <row r="424" ht="12.7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</row>
    <row r="425" ht="12.7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</row>
    <row r="426" ht="12.7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</row>
    <row r="427" ht="12.7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</row>
    <row r="428" ht="12.7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</row>
    <row r="429" ht="12.7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</row>
    <row r="430" ht="12.7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</row>
    <row r="431" ht="12.7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</row>
    <row r="432" ht="12.7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</row>
    <row r="433" ht="12.7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</row>
    <row r="434" ht="12.7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</row>
    <row r="435" ht="12.7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</row>
    <row r="436" ht="12.7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</row>
    <row r="437" ht="12.7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</row>
    <row r="438" ht="12.7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</row>
    <row r="439" ht="12.7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</row>
    <row r="440" ht="12.7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</row>
    <row r="441" ht="12.7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</row>
    <row r="442" ht="12.7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</row>
    <row r="443" ht="12.7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</row>
    <row r="444" ht="12.7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</row>
    <row r="445" ht="12.7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</row>
    <row r="446" ht="12.7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</row>
    <row r="447" ht="12.7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</row>
    <row r="448" ht="12.7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</row>
    <row r="449" ht="12.7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</row>
    <row r="450" ht="12.7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</row>
    <row r="451" ht="12.7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</row>
    <row r="452" ht="12.7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</row>
    <row r="453" ht="12.7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</row>
    <row r="454" ht="12.7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</row>
    <row r="455" ht="12.7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</row>
    <row r="456" ht="12.7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</row>
    <row r="457" ht="12.7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</row>
    <row r="458" ht="12.7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</row>
    <row r="459" ht="12.7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</row>
    <row r="460" ht="12.7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</row>
    <row r="461" ht="12.7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</row>
    <row r="462" ht="12.7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</row>
    <row r="463" ht="12.7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</row>
    <row r="464" ht="12.7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</row>
    <row r="465" ht="12.7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</row>
    <row r="466" ht="12.7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</row>
    <row r="467" ht="12.7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</row>
    <row r="468" ht="12.7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</row>
    <row r="469" ht="12.7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</row>
    <row r="470" ht="12.7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</row>
    <row r="471" ht="12.7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</row>
    <row r="472" ht="12.7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</row>
    <row r="473" ht="12.7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</row>
    <row r="474" ht="12.7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</row>
    <row r="475" ht="12.7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</row>
    <row r="476" ht="12.7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</row>
    <row r="477" ht="12.7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</row>
    <row r="478" ht="12.7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</row>
    <row r="479" ht="12.7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</row>
    <row r="480" ht="12.7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</row>
    <row r="481" ht="12.7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</row>
    <row r="482" ht="12.7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</row>
    <row r="483" ht="12.7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</row>
    <row r="484" ht="12.7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</row>
    <row r="485" ht="12.7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</row>
    <row r="486" ht="12.7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</row>
    <row r="487" ht="12.7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</row>
    <row r="488" ht="12.7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</row>
    <row r="489" ht="12.7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</row>
    <row r="490" ht="12.7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</row>
    <row r="491" ht="12.7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</row>
    <row r="492" ht="12.7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</row>
    <row r="493" ht="12.7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</row>
    <row r="494" ht="12.7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</row>
    <row r="495" ht="12.7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</row>
    <row r="496" ht="12.7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</row>
    <row r="497" ht="12.7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</row>
    <row r="498" ht="12.7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</row>
    <row r="499" ht="12.7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</row>
    <row r="500" ht="12.7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</row>
    <row r="501" ht="12.7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</row>
    <row r="502" ht="12.7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</row>
    <row r="503" ht="12.7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</row>
    <row r="504" ht="12.7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</row>
    <row r="505" ht="12.7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</row>
    <row r="506" ht="12.7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</row>
    <row r="507" ht="12.7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</row>
    <row r="508" ht="12.7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</row>
    <row r="509" ht="12.7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</row>
    <row r="510" ht="12.7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</row>
    <row r="511" ht="12.7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</row>
    <row r="512" ht="12.7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</row>
    <row r="513" ht="12.7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</row>
    <row r="514" ht="12.7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</row>
    <row r="515" ht="12.7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</row>
    <row r="516" ht="12.7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</row>
    <row r="517" ht="12.7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</row>
    <row r="518" ht="12.7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</row>
    <row r="519" ht="12.7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</row>
    <row r="520" ht="12.7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</row>
    <row r="521" ht="12.7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</row>
    <row r="522" ht="12.7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</row>
    <row r="523" ht="12.7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</row>
    <row r="524" ht="12.7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</row>
    <row r="525" ht="12.7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</row>
    <row r="526" ht="12.7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</row>
    <row r="527" ht="12.7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</row>
    <row r="528" ht="12.7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</row>
    <row r="529" ht="12.7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</row>
    <row r="530" ht="12.7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</row>
    <row r="531" ht="12.7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</row>
    <row r="532" ht="12.7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</row>
    <row r="533" ht="12.7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</row>
    <row r="534" ht="12.7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</row>
    <row r="535" ht="12.7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</row>
    <row r="536" ht="12.7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</row>
    <row r="537" ht="12.7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</row>
    <row r="538" ht="12.7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</row>
    <row r="539" ht="12.7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</row>
    <row r="540" ht="12.7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</row>
    <row r="541" ht="12.7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</row>
    <row r="542" ht="12.7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</row>
    <row r="543" ht="12.7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</row>
    <row r="544" ht="12.7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</row>
    <row r="545" ht="12.7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</row>
    <row r="546" ht="12.7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</row>
    <row r="547" ht="12.7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</row>
    <row r="548" ht="12.7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</row>
    <row r="549" ht="12.7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</row>
    <row r="550" ht="12.7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</row>
    <row r="551" ht="12.7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</row>
    <row r="552" ht="12.7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</row>
    <row r="553" ht="12.7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</row>
    <row r="554" ht="12.7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</row>
    <row r="555" ht="12.7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</row>
    <row r="556" ht="12.7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</row>
    <row r="557" ht="12.7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</row>
    <row r="558" ht="12.7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</row>
    <row r="559" ht="12.7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</row>
    <row r="560" ht="12.7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</row>
    <row r="561" ht="12.7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</row>
    <row r="562" ht="12.7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</row>
    <row r="563" ht="12.7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</row>
    <row r="564" ht="12.7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</row>
    <row r="565" ht="12.7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</row>
    <row r="566" ht="12.7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</row>
    <row r="567" ht="12.7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</row>
    <row r="568" ht="12.7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</row>
    <row r="569" ht="12.7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</row>
    <row r="570" ht="12.7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</row>
    <row r="571" ht="12.7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</row>
    <row r="572" ht="12.7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</row>
    <row r="573" ht="12.7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</row>
    <row r="574" ht="12.7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</row>
    <row r="575" ht="12.7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</row>
    <row r="576" ht="12.7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</row>
    <row r="577" ht="12.7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</row>
    <row r="578" ht="12.7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</row>
    <row r="579" ht="12.7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</row>
    <row r="580" ht="12.7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</row>
    <row r="581" ht="12.7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</row>
    <row r="582" ht="12.7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</row>
    <row r="583" ht="12.7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</row>
    <row r="584" ht="12.7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</row>
    <row r="585" ht="12.7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</row>
    <row r="586" ht="12.7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</row>
    <row r="587" ht="12.7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</row>
    <row r="588" ht="12.7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</row>
    <row r="589" ht="12.7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</row>
    <row r="590" ht="12.7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</row>
    <row r="591" ht="12.7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</row>
    <row r="592" ht="12.7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</row>
    <row r="593" ht="12.7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</row>
    <row r="594" ht="12.7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</row>
    <row r="595" ht="12.7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</row>
    <row r="596" ht="12.7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</row>
    <row r="597" ht="12.7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</row>
    <row r="598" ht="12.7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</row>
    <row r="599" ht="12.7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</row>
    <row r="600" ht="12.7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</row>
    <row r="601" ht="12.7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</row>
    <row r="602" ht="12.7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</row>
    <row r="603" ht="12.7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</row>
    <row r="604" ht="12.7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</row>
    <row r="605" ht="12.7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</row>
    <row r="606" ht="12.7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</row>
    <row r="607" ht="12.7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</row>
    <row r="608" ht="12.7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</row>
    <row r="609" ht="12.7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</row>
    <row r="610" ht="12.7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</row>
    <row r="611" ht="12.7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</row>
    <row r="612" ht="12.7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</row>
    <row r="613" ht="12.7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</row>
    <row r="614" ht="12.7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</row>
    <row r="615" ht="12.7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</row>
    <row r="616" ht="12.7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</row>
    <row r="617" ht="12.7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</row>
    <row r="618" ht="12.7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</row>
    <row r="619" ht="12.7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</row>
    <row r="620" ht="12.7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</row>
    <row r="621" ht="12.7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</row>
    <row r="622" ht="12.7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</row>
    <row r="623" ht="12.7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</row>
    <row r="624" ht="12.7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</row>
    <row r="625" ht="12.7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</row>
    <row r="626" ht="12.7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</row>
    <row r="627" ht="12.7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</row>
    <row r="628" ht="12.7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</row>
    <row r="629" ht="12.7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</row>
    <row r="630" ht="12.7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</row>
    <row r="631" ht="12.7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</row>
    <row r="632" ht="12.7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</row>
    <row r="633" ht="12.7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</row>
    <row r="634" ht="12.7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</row>
    <row r="635" ht="12.7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</row>
    <row r="636" ht="12.7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</row>
    <row r="637" ht="12.7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</row>
    <row r="638" ht="12.7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</row>
    <row r="639" ht="12.7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</row>
    <row r="640" ht="12.7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</row>
    <row r="641" ht="12.7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</row>
    <row r="642" ht="12.7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</row>
    <row r="643" ht="12.7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</row>
    <row r="644" ht="12.7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</row>
    <row r="645" ht="12.7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</row>
    <row r="646" ht="12.7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</row>
    <row r="647" ht="12.7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</row>
    <row r="648" ht="12.7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</row>
    <row r="649" ht="12.7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</row>
    <row r="650" ht="12.7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</row>
    <row r="651" ht="12.7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</row>
    <row r="652" ht="12.7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</row>
    <row r="653" ht="12.7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</row>
    <row r="654" ht="12.7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</row>
    <row r="655" ht="12.7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</row>
    <row r="656" ht="12.7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</row>
    <row r="657" ht="12.7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</row>
    <row r="658" ht="12.7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</row>
    <row r="659" ht="12.7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</row>
    <row r="660" ht="12.7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</row>
    <row r="661" ht="12.7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</row>
    <row r="662" ht="12.7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</row>
    <row r="663" ht="12.7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</row>
    <row r="664" ht="12.7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</row>
    <row r="665" ht="12.7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</row>
    <row r="666" ht="12.7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</row>
    <row r="667" ht="12.7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</row>
    <row r="668" ht="12.7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</row>
    <row r="669" ht="12.7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</row>
    <row r="670" ht="12.7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</row>
    <row r="671" ht="12.7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</row>
    <row r="672" ht="12.7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</row>
    <row r="673" ht="12.7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</row>
    <row r="674" ht="12.7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</row>
    <row r="675" ht="12.7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</row>
    <row r="676" ht="12.7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</row>
    <row r="677" ht="12.7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</row>
    <row r="678" ht="12.7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</row>
    <row r="679" ht="12.7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</row>
    <row r="680" ht="12.7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</row>
    <row r="681" ht="12.7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</row>
    <row r="682" ht="12.7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</row>
    <row r="683" ht="12.7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</row>
    <row r="684" ht="12.7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</row>
    <row r="685" ht="12.7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</row>
    <row r="686" ht="12.7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</row>
    <row r="687" ht="12.7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</row>
    <row r="688" ht="12.7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</row>
    <row r="689" ht="12.7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</row>
    <row r="690" ht="12.7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</row>
    <row r="691" ht="12.7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</row>
    <row r="692" ht="12.7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</row>
    <row r="693" ht="12.7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</row>
    <row r="694" ht="12.7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</row>
    <row r="695" ht="12.7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</row>
    <row r="696" ht="12.7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</row>
    <row r="697" ht="12.7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</row>
    <row r="698" ht="12.7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</row>
    <row r="699" ht="12.7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</row>
    <row r="700" ht="12.7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</row>
    <row r="701" ht="12.7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</row>
    <row r="702" ht="12.7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</row>
    <row r="703" ht="12.7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</row>
    <row r="704" ht="12.7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</row>
    <row r="705" ht="12.7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</row>
    <row r="706" ht="12.7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</row>
    <row r="707" ht="12.7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</row>
    <row r="708" ht="12.7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</row>
    <row r="709" ht="12.7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</row>
    <row r="710" ht="12.7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</row>
    <row r="711" ht="12.7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</row>
    <row r="712" ht="12.7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</row>
    <row r="713" ht="12.7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</row>
    <row r="714" ht="12.7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</row>
    <row r="715" ht="12.7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</row>
    <row r="716" ht="12.7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</row>
    <row r="717" ht="12.7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</row>
    <row r="718" ht="12.7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</row>
    <row r="719" ht="12.7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</row>
    <row r="720" ht="12.7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</row>
    <row r="721" ht="12.7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</row>
    <row r="722" ht="12.7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</row>
    <row r="723" ht="12.7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</row>
    <row r="724" ht="12.7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</row>
    <row r="725" ht="12.7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</row>
    <row r="726" ht="12.7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</row>
    <row r="727" ht="12.7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</row>
    <row r="728" ht="12.7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</row>
    <row r="729" ht="12.7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</row>
    <row r="730" ht="12.7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</row>
    <row r="731" ht="12.7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</row>
    <row r="732" ht="12.7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</row>
    <row r="733" ht="12.7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</row>
    <row r="734" ht="12.7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</row>
    <row r="735" ht="12.7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</row>
    <row r="736" ht="12.7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</row>
    <row r="737" ht="12.7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</row>
    <row r="738" ht="12.7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</row>
    <row r="739" ht="12.7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</row>
    <row r="740" ht="12.7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</row>
    <row r="741" ht="12.7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</row>
    <row r="742" ht="12.7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</row>
    <row r="743" ht="12.7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</row>
    <row r="744" ht="12.7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</row>
    <row r="745" ht="12.7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</row>
    <row r="746" ht="12.7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</row>
    <row r="747" ht="12.7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</row>
    <row r="748" ht="12.7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</row>
    <row r="749" ht="12.7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</row>
    <row r="750" ht="12.7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</row>
    <row r="751" ht="12.7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</row>
    <row r="752" ht="12.7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</row>
    <row r="753" ht="12.7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</row>
    <row r="754" ht="12.7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</row>
    <row r="755" ht="12.7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</row>
    <row r="756" ht="12.7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</row>
    <row r="757" ht="12.7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</row>
    <row r="758" ht="12.7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</row>
    <row r="759" ht="12.7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</row>
    <row r="760" ht="12.7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</row>
    <row r="761" ht="12.7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</row>
    <row r="762" ht="12.7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</row>
    <row r="763" ht="12.7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</row>
    <row r="764" ht="12.7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</row>
    <row r="765" ht="12.7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</row>
    <row r="766" ht="12.7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</row>
    <row r="767" ht="12.7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</row>
    <row r="768" ht="12.7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</row>
    <row r="769" ht="12.7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</row>
    <row r="770" ht="12.7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</row>
    <row r="771" ht="12.7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</row>
    <row r="772" ht="12.7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</row>
    <row r="773" ht="12.7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</row>
    <row r="774" ht="12.7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</row>
    <row r="775" ht="12.7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</row>
    <row r="776" ht="12.7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</row>
    <row r="777" ht="12.7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</row>
    <row r="778" ht="12.7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</row>
    <row r="779" ht="12.7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</row>
    <row r="780" ht="12.7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</row>
    <row r="781" ht="12.7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</row>
    <row r="782" ht="12.7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</row>
    <row r="783" ht="12.7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</row>
    <row r="784" ht="12.7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</row>
    <row r="785" ht="12.7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</row>
    <row r="786" ht="12.7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</row>
    <row r="787" ht="12.7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</row>
    <row r="788" ht="12.7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</row>
    <row r="789" ht="12.7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</row>
    <row r="790" ht="12.7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</row>
    <row r="791" ht="12.7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</row>
    <row r="792" ht="12.7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</row>
    <row r="793" ht="12.7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</row>
    <row r="794" ht="12.7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</row>
    <row r="795" ht="12.7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</row>
    <row r="796" ht="12.7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</row>
    <row r="797" ht="12.7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</row>
    <row r="798" ht="12.7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</row>
    <row r="799" ht="12.7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</row>
    <row r="800" ht="12.7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</row>
    <row r="801" ht="12.7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</row>
    <row r="802" ht="12.7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</row>
    <row r="803" ht="12.7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</row>
    <row r="804" ht="12.7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</row>
    <row r="805" ht="12.7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</row>
    <row r="806" ht="12.7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</row>
    <row r="807" ht="12.7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</row>
    <row r="808" ht="12.7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</row>
    <row r="809" ht="12.7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</row>
    <row r="810" ht="12.7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</row>
    <row r="811" ht="12.7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</row>
    <row r="812" ht="12.7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</row>
    <row r="813" ht="12.7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</row>
    <row r="814" ht="12.7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</row>
    <row r="815" ht="12.7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</row>
    <row r="816" ht="12.7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</row>
    <row r="817" ht="12.7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</row>
    <row r="818" ht="12.7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</row>
    <row r="819" ht="12.7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</row>
    <row r="820" ht="12.7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</row>
    <row r="821" ht="12.7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</row>
    <row r="822" ht="12.7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</row>
    <row r="823" ht="12.7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</row>
    <row r="824" ht="12.7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</row>
    <row r="825" ht="12.7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</row>
    <row r="826" ht="12.7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</row>
    <row r="827" ht="12.7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</row>
    <row r="828" ht="12.7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</row>
    <row r="829" ht="12.7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</row>
    <row r="830" ht="12.7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</row>
    <row r="831" ht="12.7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</row>
    <row r="832" ht="12.7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</row>
    <row r="833" ht="12.7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</row>
    <row r="834" ht="12.7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</row>
    <row r="835" ht="12.7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</row>
    <row r="836" ht="12.7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</row>
    <row r="837" ht="12.7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</row>
    <row r="838" ht="12.7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</row>
    <row r="839" ht="12.7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</row>
    <row r="840" ht="12.7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</row>
    <row r="841" ht="12.7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</row>
    <row r="842" ht="12.7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</row>
    <row r="843" ht="12.7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</row>
    <row r="844" ht="12.7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</row>
    <row r="845" ht="12.7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</row>
    <row r="846" ht="12.7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</row>
    <row r="847" ht="12.7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</row>
    <row r="848" ht="12.7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</row>
    <row r="849" ht="12.7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</row>
    <row r="850" ht="12.7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</row>
    <row r="851" ht="12.7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</row>
    <row r="852" ht="12.7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</row>
    <row r="853" ht="12.7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</row>
    <row r="854" ht="12.7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</row>
    <row r="855" ht="12.7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</row>
    <row r="856" ht="12.7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</row>
    <row r="857" ht="12.7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</row>
    <row r="858" ht="12.7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</row>
    <row r="859" ht="12.7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</row>
    <row r="860" ht="12.7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</row>
    <row r="861" ht="12.7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</row>
    <row r="862" ht="12.7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</row>
    <row r="863" ht="12.7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</row>
    <row r="864" ht="12.7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</row>
    <row r="865" ht="12.7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</row>
    <row r="866" ht="12.7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</row>
    <row r="867" ht="12.7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</row>
    <row r="868" ht="12.7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</row>
    <row r="869" ht="12.7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</row>
    <row r="870" ht="12.7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</row>
    <row r="871" ht="12.7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</row>
    <row r="872" ht="12.7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</row>
    <row r="873" ht="12.7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</row>
    <row r="874" ht="12.7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</row>
    <row r="875" ht="12.7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</row>
    <row r="876" ht="12.7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</row>
    <row r="877" ht="12.7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</row>
    <row r="878" ht="12.7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</row>
    <row r="879" ht="12.7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</row>
    <row r="880" ht="12.7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</row>
    <row r="881" ht="12.7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</row>
    <row r="882" ht="12.7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</row>
    <row r="883" ht="12.7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</row>
    <row r="884" ht="12.7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</row>
    <row r="885" ht="12.7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</row>
    <row r="886" ht="12.7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</row>
    <row r="887" ht="12.7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</row>
    <row r="888" ht="12.7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</row>
    <row r="889" ht="12.7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</row>
    <row r="890" ht="12.7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</row>
    <row r="891" ht="12.7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</row>
    <row r="892" ht="12.7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</row>
    <row r="893" ht="12.7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</row>
    <row r="894" ht="12.7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</row>
    <row r="895" ht="12.7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</row>
    <row r="896" ht="12.7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</row>
    <row r="897" ht="12.7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</row>
    <row r="898" ht="12.7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</row>
    <row r="899" ht="12.7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</row>
    <row r="900" ht="12.7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</row>
    <row r="901" ht="12.7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</row>
    <row r="902" ht="12.7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</row>
    <row r="903" ht="12.7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</row>
    <row r="904" ht="12.7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</row>
    <row r="905" ht="12.7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</row>
    <row r="906" ht="12.7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</row>
    <row r="907" ht="12.7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</row>
    <row r="908" ht="12.7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</row>
    <row r="909" ht="12.7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</row>
    <row r="910" ht="12.7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</row>
    <row r="911" ht="12.7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</row>
    <row r="912" ht="12.7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</row>
    <row r="913" ht="12.7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</row>
    <row r="914" ht="12.7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</row>
    <row r="915" ht="12.7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</row>
    <row r="916" ht="12.7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</row>
    <row r="917" ht="12.7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</row>
    <row r="918" ht="12.7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</row>
    <row r="919" ht="12.7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</row>
    <row r="920" ht="12.7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</row>
    <row r="921" ht="12.7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</row>
    <row r="922" ht="12.7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</row>
    <row r="923" ht="12.7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</row>
    <row r="924" ht="12.7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</row>
    <row r="925" ht="12.7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</row>
    <row r="926" ht="12.7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</row>
    <row r="927" ht="12.7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</row>
    <row r="928" ht="12.7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</row>
    <row r="929" ht="12.7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</row>
    <row r="930" ht="12.7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</row>
    <row r="931" ht="12.7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</row>
    <row r="932" ht="12.7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</row>
    <row r="933" ht="12.7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</row>
    <row r="934" ht="12.7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</row>
    <row r="935" ht="12.7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</row>
    <row r="936" ht="12.7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</row>
    <row r="937" ht="12.7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</row>
    <row r="938" ht="12.7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</row>
    <row r="939" ht="12.7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</row>
    <row r="940" ht="12.7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</row>
    <row r="941" ht="12.7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</row>
    <row r="942" ht="12.7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</row>
    <row r="943" ht="12.7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</row>
    <row r="944" ht="12.7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</row>
    <row r="945" ht="12.7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</row>
    <row r="946" ht="12.7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</row>
    <row r="947" ht="12.7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</row>
    <row r="948" ht="12.7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</row>
    <row r="949" ht="12.7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</row>
    <row r="950" ht="12.7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</row>
    <row r="951" ht="12.7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</row>
    <row r="952" ht="12.7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</row>
    <row r="953" ht="12.7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</row>
    <row r="954" ht="12.7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</row>
    <row r="955" ht="12.7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</row>
    <row r="956" ht="12.7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</row>
    <row r="957" ht="12.7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</row>
    <row r="958" ht="12.7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</row>
    <row r="959" ht="12.7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</row>
    <row r="960" ht="12.7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</row>
    <row r="961" ht="12.7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</row>
    <row r="962" ht="12.7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</row>
    <row r="963" ht="12.7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</row>
    <row r="964" ht="12.7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</row>
    <row r="965" ht="12.7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</row>
    <row r="966" ht="12.7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</row>
    <row r="967" ht="12.7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</row>
    <row r="968" ht="12.7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</row>
    <row r="969" ht="12.7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</row>
    <row r="970" ht="12.7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</row>
    <row r="971" ht="12.7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</row>
    <row r="972" ht="12.7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</row>
    <row r="973" ht="12.7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</row>
    <row r="974" ht="12.7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</row>
    <row r="975" ht="12.7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</row>
    <row r="976" ht="12.7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</row>
    <row r="977" ht="12.7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</row>
    <row r="978" ht="12.7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</row>
    <row r="979" ht="12.7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</row>
    <row r="980" ht="12.7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</row>
    <row r="981" ht="12.7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</row>
    <row r="982" ht="12.7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</row>
    <row r="983" ht="12.7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</row>
    <row r="984" ht="12.7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</row>
    <row r="985" ht="12.7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</row>
    <row r="986" ht="12.7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</row>
    <row r="987" ht="12.7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</row>
    <row r="988" ht="12.7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</row>
    <row r="989" ht="12.7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</row>
    <row r="990" ht="12.7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</row>
    <row r="991" ht="12.7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</row>
    <row r="992" ht="12.7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</row>
    <row r="993" ht="12.7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</row>
    <row r="994" ht="12.7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</row>
    <row r="995" ht="12.7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</row>
    <row r="996" ht="12.7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</row>
    <row r="997" ht="12.7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</row>
    <row r="998" ht="12.7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</row>
    <row r="999" ht="12.7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</row>
    <row r="1000" ht="12.7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</row>
  </sheetData>
  <conditionalFormatting sqref="D34:D38">
    <cfRule type="containsText" priority="20" operator="containsText" dxfId="7" text="Overdue">
      <formula>NOT(ISERROR(SEARCH(("Overdue"),(D34))))</formula>
    </cfRule>
    <cfRule type="containsText" priority="21" operator="containsText" dxfId="6" text="On Hold">
      <formula>NOT(ISERROR(SEARCH(("On Hold"),(D34))))</formula>
    </cfRule>
    <cfRule type="containsText" priority="22" operator="containsText" dxfId="5" text="Complete">
      <formula>NOT(ISERROR(SEARCH(("Complete"),(D34))))</formula>
    </cfRule>
    <cfRule type="containsText" priority="23" operator="containsText" dxfId="4" text="In Progress">
      <formula>NOT(ISERROR(SEARCH(("In Progress"),(D34))))</formula>
    </cfRule>
    <cfRule type="containsText" priority="24" operator="containsText" dxfId="3" text="Not Started">
      <formula>NOT(ISERROR(SEARCH(("Not Started"),(D34))))</formula>
    </cfRule>
  </conditionalFormatting>
  <conditionalFormatting sqref="D43:D46">
    <cfRule type="containsText" priority="9" operator="containsText" dxfId="2" text="Low">
      <formula>NOT(ISERROR(SEARCH(("Low"),(D43))))</formula>
    </cfRule>
    <cfRule type="containsText" priority="10" operator="containsText" dxfId="1" text="Medium">
      <formula>NOT(ISERROR(SEARCH(("Medium"),(D43))))</formula>
    </cfRule>
    <cfRule type="containsText" priority="11" operator="containsText" dxfId="0" text="High">
      <formula>NOT(ISERROR(SEARCH(("High"),(D43))))</formula>
    </cfRule>
  </conditionalFormatting>
  <conditionalFormatting sqref="I11:I30 M11:M15">
    <cfRule type="containsText" priority="1" operator="containsText" dxfId="7" text="Overdue">
      <formula>NOT(ISERROR(SEARCH(("Overdue"),(I11))))</formula>
    </cfRule>
    <cfRule type="containsText" priority="2" operator="containsText" dxfId="6" text="On Hold">
      <formula>NOT(ISERROR(SEARCH(("On Hold"),(I11))))</formula>
    </cfRule>
    <cfRule type="containsText" priority="3" operator="containsText" dxfId="5" text="Complete">
      <formula>NOT(ISERROR(SEARCH(("Complete"),(I11))))</formula>
    </cfRule>
    <cfRule type="containsText" priority="4" operator="containsText" dxfId="4" text="In Progress">
      <formula>NOT(ISERROR(SEARCH(("In Progress"),(I11))))</formula>
    </cfRule>
    <cfRule type="containsText" priority="5" operator="containsText" dxfId="3" text="Not Started">
      <formula>NOT(ISERROR(SEARCH(("Not Started"),(I11))))</formula>
    </cfRule>
  </conditionalFormatting>
  <conditionalFormatting sqref="J11:J30 O11:O14">
    <cfRule type="containsText" priority="6" operator="containsText" dxfId="2" text="Low">
      <formula>NOT(ISERROR(SEARCH(("Low"),(J11))))</formula>
    </cfRule>
    <cfRule type="containsText" priority="7" operator="containsText" dxfId="1" text="Medium">
      <formula>NOT(ISERROR(SEARCH(("Medium"),(J11))))</formula>
    </cfRule>
    <cfRule type="containsText" priority="8" operator="containsText" dxfId="0" text="High">
      <formula>NOT(ISERROR(SEARCH(("High"),(J11))))</formula>
    </cfRule>
  </conditionalFormatting>
  <dataValidations count="2">
    <dataValidation sqref="J11:J30" showDropDown="0" showInputMessage="0" showErrorMessage="1" allowBlank="1" type="list">
      <formula1>$O$11:$O$14</formula1>
    </dataValidation>
    <dataValidation sqref="I11:I30" showDropDown="0" showInputMessage="0" showErrorMessage="1" allowBlank="1" type="list">
      <formula1>$M$11:$M$15</formula1>
    </dataValidation>
  </dataValidations>
  <pageMargins left="0.3" right="0.3" top="0.3" bottom="0.3" header="0" footer="0"/>
  <pageSetup orientation="landscape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8" customWidth="1" min="4" max="4"/>
    <col width="14" customWidth="1" min="5" max="5"/>
    <col width="14" customWidth="1" min="6" max="6"/>
    <col width="15" customWidth="1" min="7" max="7"/>
    <col width="18" customWidth="1" min="8" max="8"/>
    <col width="12" customWidth="1" min="9" max="9"/>
    <col width="14" customWidth="1" min="10" max="10"/>
    <col width="48" customWidth="1" min="11" max="11"/>
    <col width="12" customWidth="1" min="12" max="12"/>
    <col width="12" customWidth="1" min="13" max="13"/>
    <col width="10" customWidth="1" min="14" max="14"/>
    <col width="10" customWidth="1" min="15" max="15"/>
    <col width="23" customWidth="1" min="16" max="16"/>
    <col width="10" customWidth="1" min="17" max="17"/>
  </cols>
  <sheetData>
    <row r="1">
      <c r="D1" s="91" t="inlineStr">
        <is>
          <t>PET SERVICE - DASHBOARD BÁO CÁO DỰ ÁN</t>
        </is>
      </c>
    </row>
    <row r="2">
      <c r="D2" s="92" t="inlineStr">
        <is>
          <t>TÊN DỰ ÁN</t>
        </is>
      </c>
      <c r="H2" s="92" t="inlineStr">
        <is>
          <t>NGÀY</t>
        </is>
      </c>
      <c r="I2" s="92" t="inlineStr">
        <is>
          <t>TRẠNG THÁI</t>
        </is>
      </c>
      <c r="J2" s="92" t="inlineStr">
        <is>
          <t>% HOÀN THIỆN</t>
        </is>
      </c>
    </row>
    <row r="3">
      <c r="D3" t="inlineStr">
        <is>
          <t>Pet Service Management</t>
        </is>
      </c>
      <c r="H3" s="69" t="n">
        <v>46193</v>
      </c>
      <c r="I3" t="inlineStr">
        <is>
          <t>Complete</t>
        </is>
      </c>
      <c r="J3" s="70" t="n">
        <v>1</v>
      </c>
    </row>
    <row r="4">
      <c r="D4" t="inlineStr">
        <is>
          <t>Code freeze: 07/06/2026 | Tài liệu đặc tả, demo, nghiệm thu: 08/06-14/06/2026 | Tất cả nhiệm vụ Complete.</t>
        </is>
      </c>
    </row>
    <row r="5"/>
    <row r="6">
      <c r="B6" s="97" t="inlineStr">
        <is>
          <t>Level</t>
        </is>
      </c>
      <c r="C6" s="97" t="inlineStr">
        <is>
          <t>Task ID</t>
        </is>
      </c>
      <c r="D6" s="97" t="inlineStr">
        <is>
          <t>TASK NAME</t>
        </is>
      </c>
      <c r="E6" s="97" t="inlineStr">
        <is>
          <t>ASSIGNED TO</t>
        </is>
      </c>
      <c r="F6" s="97" t="inlineStr">
        <is>
          <t>NGÀY BẮT ĐẦU</t>
        </is>
      </c>
      <c r="G6" s="97" t="inlineStr">
        <is>
          <t>NGÀY KẾT THÚC</t>
        </is>
      </c>
      <c r="H6" s="97" t="inlineStr">
        <is>
          <t>KHOẢNG THỜI GIAN</t>
        </is>
      </c>
      <c r="I6" s="97" t="inlineStr">
        <is>
          <t>TÌNH TRẠNG</t>
        </is>
      </c>
      <c r="J6" s="97" t="inlineStr">
        <is>
          <t>MỨC ƯU TIÊN</t>
        </is>
      </c>
      <c r="K6" s="97" t="inlineStr">
        <is>
          <t>BÌNH LUẬN</t>
        </is>
      </c>
    </row>
    <row r="7">
      <c r="B7" s="99" t="n">
        <v>2</v>
      </c>
      <c r="C7" s="99" t="inlineStr">
        <is>
          <t>0.1</t>
        </is>
      </c>
      <c r="D7" s="99" t="inlineStr">
        <is>
          <t>Kickoff, scope và API contract chung</t>
        </is>
      </c>
      <c r="E7" s="94" t="inlineStr">
        <is>
          <t>Trường Giang</t>
        </is>
      </c>
      <c r="F7" s="101" t="n">
        <v>46113</v>
      </c>
      <c r="G7" s="101" t="n">
        <v>46115</v>
      </c>
      <c r="H7" s="99" t="n">
        <v>3</v>
      </c>
      <c r="I7" s="94" t="inlineStr">
        <is>
          <t>Complete</t>
        </is>
      </c>
      <c r="J7" s="99" t="inlineStr">
        <is>
          <t>High</t>
        </is>
      </c>
      <c r="K7" s="99" t="inlineStr">
        <is>
          <t>Thống nhất luồng Customer - Staff - Doctor - Admin.</t>
        </is>
      </c>
    </row>
    <row r="8">
      <c r="B8" s="99" t="n">
        <v>2</v>
      </c>
      <c r="C8" s="99" t="inlineStr">
        <is>
          <t>0.2</t>
        </is>
      </c>
      <c r="D8" s="99" t="inlineStr">
        <is>
          <t>Database schema, migration, enum và seed data</t>
        </is>
      </c>
      <c r="E8" s="94" t="inlineStr">
        <is>
          <t>Trường Giang</t>
        </is>
      </c>
      <c r="F8" s="101" t="n">
        <v>46115</v>
      </c>
      <c r="G8" s="101" t="n">
        <v>46119</v>
      </c>
      <c r="H8" s="99" t="n">
        <v>5</v>
      </c>
      <c r="I8" s="94" t="inlineStr">
        <is>
          <t>Complete</t>
        </is>
      </c>
      <c r="J8" s="99" t="inlineStr">
        <is>
          <t>High</t>
        </is>
      </c>
      <c r="K8" s="99" t="inlineStr">
        <is>
          <t>Bao gồm appointment, slot, invoice, specialist service result.</t>
        </is>
      </c>
    </row>
    <row r="9">
      <c r="B9" s="99" t="n">
        <v>2</v>
      </c>
      <c r="C9" s="99" t="inlineStr">
        <is>
          <t>1.1</t>
        </is>
      </c>
      <c r="D9" s="99" t="inlineStr">
        <is>
          <t>Auth, RBAC, notification nền và khóa tài khoản</t>
        </is>
      </c>
      <c r="E9" s="94" t="inlineStr">
        <is>
          <t>Trường Giang</t>
        </is>
      </c>
      <c r="F9" s="101" t="n">
        <v>46120</v>
      </c>
      <c r="G9" s="101" t="n">
        <v>46126</v>
      </c>
      <c r="H9" s="99" t="n">
        <v>7</v>
      </c>
      <c r="I9" s="94" t="inlineStr">
        <is>
          <t>Complete</t>
        </is>
      </c>
      <c r="J9" s="99" t="inlineStr">
        <is>
          <t>High</t>
        </is>
      </c>
      <c r="K9" s="99" t="inlineStr">
        <is>
          <t>CUS-01, DOC-01, STF-01, ADM-01, DOC-08 nền.</t>
        </is>
      </c>
    </row>
    <row r="10">
      <c r="B10" s="99" t="n">
        <v>2</v>
      </c>
      <c r="C10" s="99" t="inlineStr">
        <is>
          <t>1.2</t>
        </is>
      </c>
      <c r="D10" s="99" t="inlineStr">
        <is>
          <t>Admin quản lý tài khoản và nhân sự</t>
        </is>
      </c>
      <c r="E10" s="94" t="inlineStr">
        <is>
          <t>Trường Giang</t>
        </is>
      </c>
      <c r="F10" s="101" t="n">
        <v>46124</v>
      </c>
      <c r="G10" s="101" t="n">
        <v>46133</v>
      </c>
      <c r="H10" s="99" t="n">
        <v>10</v>
      </c>
      <c r="I10" s="94" t="inlineStr">
        <is>
          <t>Complete</t>
        </is>
      </c>
      <c r="J10" s="99" t="inlineStr">
        <is>
          <t>High</t>
        </is>
      </c>
      <c r="K10" s="99" t="inlineStr">
        <is>
          <t>ADM-03, ADM-04 theo phân công file chia việc.</t>
        </is>
      </c>
    </row>
    <row r="11">
      <c r="B11" s="99" t="n">
        <v>2</v>
      </c>
      <c r="C11" s="99" t="inlineStr">
        <is>
          <t>1.3</t>
        </is>
      </c>
      <c r="D11" s="99" t="inlineStr">
        <is>
          <t>Customer dashboard, hồ sơ và thú cưng</t>
        </is>
      </c>
      <c r="E11" s="97" t="inlineStr">
        <is>
          <t>Nam Anh</t>
        </is>
      </c>
      <c r="F11" s="101" t="n">
        <v>46120</v>
      </c>
      <c r="G11" s="101" t="n">
        <v>46129</v>
      </c>
      <c r="H11" s="99" t="n">
        <v>10</v>
      </c>
      <c r="I11" s="94" t="inlineStr">
        <is>
          <t>Complete</t>
        </is>
      </c>
      <c r="J11" s="99" t="inlineStr">
        <is>
          <t>High</t>
        </is>
      </c>
      <c r="K11" s="99" t="inlineStr">
        <is>
          <t>CUS-02, CUS-03, CUS-04.</t>
        </is>
      </c>
    </row>
    <row r="12">
      <c r="B12" s="99" t="n">
        <v>2</v>
      </c>
      <c r="C12" s="99" t="inlineStr">
        <is>
          <t>1.4</t>
        </is>
      </c>
      <c r="D12" s="99" t="inlineStr">
        <is>
          <t>Doctor lịch khám và ngữ cảnh bệnh nhân</t>
        </is>
      </c>
      <c r="E12" s="95" t="inlineStr">
        <is>
          <t>Hiếu</t>
        </is>
      </c>
      <c r="F12" s="101" t="n">
        <v>46122</v>
      </c>
      <c r="G12" s="101" t="n">
        <v>46133</v>
      </c>
      <c r="H12" s="99" t="n">
        <v>12</v>
      </c>
      <c r="I12" s="94" t="inlineStr">
        <is>
          <t>Complete</t>
        </is>
      </c>
      <c r="J12" s="99" t="inlineStr">
        <is>
          <t>High</t>
        </is>
      </c>
      <c r="K12" s="99" t="inlineStr">
        <is>
          <t>DOC-02, DOC-03.</t>
        </is>
      </c>
    </row>
    <row r="13">
      <c r="B13" s="99" t="n">
        <v>2</v>
      </c>
      <c r="C13" s="99" t="inlineStr">
        <is>
          <t>1.5</t>
        </is>
      </c>
      <c r="D13" s="99" t="inlineStr">
        <is>
          <t>Staff dashboard và tiếp nhận lịch</t>
        </is>
      </c>
      <c r="E13" s="98" t="inlineStr">
        <is>
          <t>Hiệp</t>
        </is>
      </c>
      <c r="F13" s="101" t="n">
        <v>46122</v>
      </c>
      <c r="G13" s="101" t="n">
        <v>46133</v>
      </c>
      <c r="H13" s="99" t="n">
        <v>12</v>
      </c>
      <c r="I13" s="94" t="inlineStr">
        <is>
          <t>Complete</t>
        </is>
      </c>
      <c r="J13" s="99" t="inlineStr">
        <is>
          <t>High</t>
        </is>
      </c>
      <c r="K13" s="99" t="inlineStr">
        <is>
          <t>STF-02, STF-03.</t>
        </is>
      </c>
    </row>
    <row r="14">
      <c r="B14" s="99" t="n">
        <v>2</v>
      </c>
      <c r="C14" s="99" t="inlineStr">
        <is>
          <t>1.6</t>
        </is>
      </c>
      <c r="D14" s="99" t="inlineStr">
        <is>
          <t>Admin dashboard và shell vận hành</t>
        </is>
      </c>
      <c r="E14" s="96" t="inlineStr">
        <is>
          <t>Khải</t>
        </is>
      </c>
      <c r="F14" s="101" t="n">
        <v>46124</v>
      </c>
      <c r="G14" s="101" t="n">
        <v>46133</v>
      </c>
      <c r="H14" s="99" t="n">
        <v>10</v>
      </c>
      <c r="I14" s="94" t="inlineStr">
        <is>
          <t>Complete</t>
        </is>
      </c>
      <c r="J14" s="99" t="inlineStr">
        <is>
          <t>High</t>
        </is>
      </c>
      <c r="K14" s="99" t="inlineStr">
        <is>
          <t>ADM-02 và điều hướng Admin Operations.</t>
        </is>
      </c>
    </row>
    <row r="15">
      <c r="B15" s="99" t="n">
        <v>2</v>
      </c>
      <c r="C15" s="99" t="inlineStr">
        <is>
          <t>2.1</t>
        </is>
      </c>
      <c r="D15" s="99" t="inlineStr">
        <is>
          <t>Customer đặt/đổi/hủy lịch và boarding</t>
        </is>
      </c>
      <c r="E15" s="97" t="inlineStr">
        <is>
          <t>Nam Anh</t>
        </is>
      </c>
      <c r="F15" s="101" t="n">
        <v>46134</v>
      </c>
      <c r="G15" s="101" t="n">
        <v>46147</v>
      </c>
      <c r="H15" s="99" t="n">
        <v>14</v>
      </c>
      <c r="I15" s="94" t="inlineStr">
        <is>
          <t>Complete</t>
        </is>
      </c>
      <c r="J15" s="99" t="inlineStr">
        <is>
          <t>High</t>
        </is>
      </c>
      <c r="K15" s="99" t="inlineStr">
        <is>
          <t>CUS-05, CUS-06, CUS-07.</t>
        </is>
      </c>
    </row>
    <row r="16">
      <c r="B16" s="99" t="n">
        <v>2</v>
      </c>
      <c r="C16" s="99" t="inlineStr">
        <is>
          <t>2.2</t>
        </is>
      </c>
      <c r="D16" s="99" t="inlineStr">
        <is>
          <t>Doctor phiếu khám, lưu nháp và kê đơn</t>
        </is>
      </c>
      <c r="E16" s="95" t="inlineStr">
        <is>
          <t>Hiếu</t>
        </is>
      </c>
      <c r="F16" s="101" t="n">
        <v>46134</v>
      </c>
      <c r="G16" s="101" t="n">
        <v>46145</v>
      </c>
      <c r="H16" s="99" t="n">
        <v>12</v>
      </c>
      <c r="I16" s="94" t="inlineStr">
        <is>
          <t>Complete</t>
        </is>
      </c>
      <c r="J16" s="99" t="inlineStr">
        <is>
          <t>High</t>
        </is>
      </c>
      <c r="K16" s="99" t="inlineStr">
        <is>
          <t>DOC-04, DOC-05.</t>
        </is>
      </c>
    </row>
    <row r="17">
      <c r="B17" s="99" t="n">
        <v>2</v>
      </c>
      <c r="C17" s="99" t="inlineStr">
        <is>
          <t>2.3</t>
        </is>
      </c>
      <c r="D17" s="99" t="inlineStr">
        <is>
          <t>Doctor hoàn tất khám và tái khám</t>
        </is>
      </c>
      <c r="E17" s="95" t="inlineStr">
        <is>
          <t>Hiếu</t>
        </is>
      </c>
      <c r="F17" s="101" t="n">
        <v>46138</v>
      </c>
      <c r="G17" s="101" t="n">
        <v>46147</v>
      </c>
      <c r="H17" s="99" t="n">
        <v>10</v>
      </c>
      <c r="I17" s="94" t="inlineStr">
        <is>
          <t>Complete</t>
        </is>
      </c>
      <c r="J17" s="99" t="inlineStr">
        <is>
          <t>High</t>
        </is>
      </c>
      <c r="K17" s="99" t="inlineStr">
        <is>
          <t>DOC-06, DOC-07.</t>
        </is>
      </c>
    </row>
    <row r="18">
      <c r="B18" s="99" t="n">
        <v>2</v>
      </c>
      <c r="C18" s="99" t="inlineStr">
        <is>
          <t>2.4</t>
        </is>
      </c>
      <c r="D18" s="99" t="inlineStr">
        <is>
          <t>Staff grooming, boarding, checkout và payment</t>
        </is>
      </c>
      <c r="E18" s="98" t="inlineStr">
        <is>
          <t>Hiệp</t>
        </is>
      </c>
      <c r="F18" s="101" t="n">
        <v>46134</v>
      </c>
      <c r="G18" s="101" t="n">
        <v>46147</v>
      </c>
      <c r="H18" s="99" t="n">
        <v>14</v>
      </c>
      <c r="I18" s="94" t="inlineStr">
        <is>
          <t>Complete</t>
        </is>
      </c>
      <c r="J18" s="99" t="inlineStr">
        <is>
          <t>High</t>
        </is>
      </c>
      <c r="K18" s="99" t="inlineStr">
        <is>
          <t>STF-04 đến STF-09.</t>
        </is>
      </c>
    </row>
    <row r="19">
      <c r="B19" s="99" t="n">
        <v>2</v>
      </c>
      <c r="C19" s="99" t="inlineStr">
        <is>
          <t>2.5</t>
        </is>
      </c>
      <c r="D19" s="99" t="inlineStr">
        <is>
          <t>Admin dịch vụ, lịch hẹn và lịch bác sĩ</t>
        </is>
      </c>
      <c r="E19" s="96" t="inlineStr">
        <is>
          <t>Khải</t>
        </is>
      </c>
      <c r="F19" s="101" t="n">
        <v>46136</v>
      </c>
      <c r="G19" s="101" t="n">
        <v>46147</v>
      </c>
      <c r="H19" s="99" t="n">
        <v>12</v>
      </c>
      <c r="I19" s="94" t="inlineStr">
        <is>
          <t>Complete</t>
        </is>
      </c>
      <c r="J19" s="99" t="inlineStr">
        <is>
          <t>High</t>
        </is>
      </c>
      <c r="K19" s="99" t="inlineStr">
        <is>
          <t>ADM-05, ADM-06, ADM-07.</t>
        </is>
      </c>
    </row>
    <row r="20">
      <c r="A20" s="102" t="n"/>
      <c r="B20" s="103" t="n">
        <v>2</v>
      </c>
      <c r="C20" s="103" t="inlineStr">
        <is>
          <t>3.1</t>
        </is>
      </c>
      <c r="D20" s="103" t="inlineStr">
        <is>
          <t>DB/API contract cho chỉ định và kết quả chuyên sâu</t>
        </is>
      </c>
      <c r="E20" s="94" t="inlineStr">
        <is>
          <t>Trường Giang</t>
        </is>
      </c>
      <c r="F20" s="104" t="n">
        <v>46148</v>
      </c>
      <c r="G20" s="104" t="n">
        <v>46153</v>
      </c>
      <c r="H20" s="103" t="n">
        <v>6</v>
      </c>
      <c r="I20" s="94" t="inlineStr">
        <is>
          <t>Complete</t>
        </is>
      </c>
      <c r="J20" s="103" t="inlineStr">
        <is>
          <t>High</t>
        </is>
      </c>
      <c r="K20" s="103" t="inlineStr">
        <is>
          <t>AppointmentService, ServiceOrderResult, invoice idempotency.</t>
        </is>
      </c>
    </row>
    <row r="21">
      <c r="A21" s="102" t="n"/>
      <c r="B21" s="103" t="n">
        <v>2</v>
      </c>
      <c r="C21" s="103" t="inlineStr">
        <is>
          <t>3.2</t>
        </is>
      </c>
      <c r="D21" s="103" t="inlineStr">
        <is>
          <t>Admin cấu hình danh mục dịch vụ chuyên sâu</t>
        </is>
      </c>
      <c r="E21" s="96" t="inlineStr">
        <is>
          <t>Khải</t>
        </is>
      </c>
      <c r="F21" s="104" t="n">
        <v>46148</v>
      </c>
      <c r="G21" s="104" t="n">
        <v>46152</v>
      </c>
      <c r="H21" s="103" t="n">
        <v>5</v>
      </c>
      <c r="I21" s="94" t="inlineStr">
        <is>
          <t>Complete</t>
        </is>
      </c>
      <c r="J21" s="103" t="inlineStr">
        <is>
          <t>High</t>
        </is>
      </c>
      <c r="K21" s="103" t="inlineStr">
        <is>
          <t>Dịch vụ có specialist room type.</t>
        </is>
      </c>
    </row>
    <row r="22">
      <c r="A22" s="102" t="n"/>
      <c r="B22" s="103" t="n">
        <v>2</v>
      </c>
      <c r="C22" s="103" t="inlineStr">
        <is>
          <t>3.3</t>
        </is>
      </c>
      <c r="D22" s="103" t="inlineStr">
        <is>
          <t>DOC-11 - Bác sĩ chỉ định dịch vụ chuyên sâu</t>
        </is>
      </c>
      <c r="E22" s="95" t="inlineStr">
        <is>
          <t>Hiếu</t>
        </is>
      </c>
      <c r="F22" s="104" t="n">
        <v>46150</v>
      </c>
      <c r="G22" s="104" t="n">
        <v>46155</v>
      </c>
      <c r="H22" s="103" t="n">
        <v>6</v>
      </c>
      <c r="I22" s="94" t="inlineStr">
        <is>
          <t>Complete</t>
        </is>
      </c>
      <c r="J22" s="103" t="inlineStr">
        <is>
          <t>High</t>
        </is>
      </c>
      <c r="K22" s="103" t="inlineStr">
        <is>
          <t>Panel chỉ định trong phiếu khám.</t>
        </is>
      </c>
    </row>
    <row r="23">
      <c r="A23" s="102" t="n"/>
      <c r="B23" s="103" t="n">
        <v>2</v>
      </c>
      <c r="C23" s="103" t="inlineStr">
        <is>
          <t>3.4</t>
        </is>
      </c>
      <c r="D23" s="103" t="inlineStr">
        <is>
          <t>DOC-12 - Hàng đợi và nhập kết quả chuyên sâu</t>
        </is>
      </c>
      <c r="E23" s="98" t="inlineStr">
        <is>
          <t>Hiệp</t>
        </is>
      </c>
      <c r="F23" s="104" t="n">
        <v>46152</v>
      </c>
      <c r="G23" s="104" t="n">
        <v>46160</v>
      </c>
      <c r="H23" s="103" t="n">
        <v>9</v>
      </c>
      <c r="I23" s="94" t="inlineStr">
        <is>
          <t>Complete</t>
        </is>
      </c>
      <c r="J23" s="103" t="inlineStr">
        <is>
          <t>High</t>
        </is>
      </c>
      <c r="K23" s="103" t="inlineStr">
        <is>
          <t>Hiệp phụ trách phần vận hành queue/result để cân workload.</t>
        </is>
      </c>
    </row>
    <row r="24">
      <c r="A24" s="102" t="n"/>
      <c r="B24" s="103" t="n">
        <v>2</v>
      </c>
      <c r="C24" s="103" t="inlineStr">
        <is>
          <t>3.5</t>
        </is>
      </c>
      <c r="D24" s="103" t="inlineStr">
        <is>
          <t>Customer lịch sử/hóa đơn có dịch vụ chuyên sâu</t>
        </is>
      </c>
      <c r="E24" s="97" t="inlineStr">
        <is>
          <t>Nam Anh</t>
        </is>
      </c>
      <c r="F24" s="104" t="n">
        <v>46156</v>
      </c>
      <c r="G24" s="104" t="n">
        <v>46161</v>
      </c>
      <c r="H24" s="103" t="n">
        <v>6</v>
      </c>
      <c r="I24" s="94" t="inlineStr">
        <is>
          <t>Complete</t>
        </is>
      </c>
      <c r="J24" s="103" t="inlineStr">
        <is>
          <t>High</t>
        </is>
      </c>
      <c r="K24" s="103" t="inlineStr">
        <is>
          <t>Bổ sung dữ liệu chuyên sâu vào CUS-09.</t>
        </is>
      </c>
    </row>
    <row r="25">
      <c r="A25" s="102" t="n"/>
      <c r="B25" s="103" t="n">
        <v>2</v>
      </c>
      <c r="C25" s="103" t="inlineStr">
        <is>
          <t>3.6</t>
        </is>
      </c>
      <c r="D25" s="103" t="inlineStr">
        <is>
          <t>Doctor dùng kết quả chuyên sâu khi hoàn tất bệnh án</t>
        </is>
      </c>
      <c r="E25" s="95" t="inlineStr">
        <is>
          <t>Hiếu</t>
        </is>
      </c>
      <c r="F25" s="104" t="n">
        <v>46156</v>
      </c>
      <c r="G25" s="104" t="n">
        <v>46161</v>
      </c>
      <c r="H25" s="103" t="n">
        <v>6</v>
      </c>
      <c r="I25" s="94" t="inlineStr">
        <is>
          <t>Complete</t>
        </is>
      </c>
      <c r="J25" s="103" t="inlineStr">
        <is>
          <t>High</t>
        </is>
      </c>
      <c r="K25" s="103" t="inlineStr">
        <is>
          <t>DOC-13.</t>
        </is>
      </c>
    </row>
    <row r="26">
      <c r="B26" s="99" t="n">
        <v>2</v>
      </c>
      <c r="C26" s="99" t="inlineStr">
        <is>
          <t>4.1</t>
        </is>
      </c>
      <c r="D26" s="99" t="inlineStr">
        <is>
          <t>Admin báo cáo, health trends, settings/email</t>
        </is>
      </c>
      <c r="E26" s="96" t="inlineStr">
        <is>
          <t>Khải</t>
        </is>
      </c>
      <c r="F26" s="101" t="n">
        <v>46162</v>
      </c>
      <c r="G26" s="101" t="n">
        <v>46171</v>
      </c>
      <c r="H26" s="99" t="n">
        <v>10</v>
      </c>
      <c r="I26" s="94" t="inlineStr">
        <is>
          <t>Complete</t>
        </is>
      </c>
      <c r="J26" s="99" t="inlineStr">
        <is>
          <t>Medium</t>
        </is>
      </c>
      <c r="K26" s="99" t="inlineStr">
        <is>
          <t>ADM-08, ADM-09, ADM-10.</t>
        </is>
      </c>
    </row>
    <row r="27">
      <c r="B27" s="99" t="n">
        <v>2</v>
      </c>
      <c r="C27" s="99" t="inlineStr">
        <is>
          <t>4.2</t>
        </is>
      </c>
      <c r="D27" s="99" t="inlineStr">
        <is>
          <t>Customer thuốc, lịch sử, thông báo và rating</t>
        </is>
      </c>
      <c r="E27" s="97" t="inlineStr">
        <is>
          <t>Nam Anh</t>
        </is>
      </c>
      <c r="F27" s="101" t="n">
        <v>46162</v>
      </c>
      <c r="G27" s="101" t="n">
        <v>46177</v>
      </c>
      <c r="H27" s="99" t="n">
        <v>16</v>
      </c>
      <c r="I27" s="94" t="inlineStr">
        <is>
          <t>Complete</t>
        </is>
      </c>
      <c r="J27" s="99" t="inlineStr">
        <is>
          <t>Medium</t>
        </is>
      </c>
      <c r="K27" s="99" t="inlineStr">
        <is>
          <t>CUS-08, CUS-09, CUS-10, CUS-11.</t>
        </is>
      </c>
    </row>
    <row r="28">
      <c r="B28" s="99" t="n">
        <v>2</v>
      </c>
      <c r="C28" s="99" t="inlineStr">
        <is>
          <t>4.3</t>
        </is>
      </c>
      <c r="D28" s="99" t="inlineStr">
        <is>
          <t>Doctor records, stats và settings</t>
        </is>
      </c>
      <c r="E28" s="95" t="inlineStr">
        <is>
          <t>Hiếu</t>
        </is>
      </c>
      <c r="F28" s="101" t="n">
        <v>46164</v>
      </c>
      <c r="G28" s="101" t="n">
        <v>46172</v>
      </c>
      <c r="H28" s="99" t="n">
        <v>9</v>
      </c>
      <c r="I28" s="94" t="inlineStr">
        <is>
          <t>Complete</t>
        </is>
      </c>
      <c r="J28" s="99" t="inlineStr">
        <is>
          <t>Medium</t>
        </is>
      </c>
      <c r="K28" s="99" t="inlineStr">
        <is>
          <t>DOC-09, DOC-10 sau khi DOC-08 nền do Trường Giang hỗ trợ.</t>
        </is>
      </c>
    </row>
    <row r="29">
      <c r="B29" s="99" t="n">
        <v>2</v>
      </c>
      <c r="C29" s="99" t="inlineStr">
        <is>
          <t>4.4</t>
        </is>
      </c>
      <c r="D29" s="99" t="inlineStr">
        <is>
          <t>Regression và E2E toàn hệ thống</t>
        </is>
      </c>
      <c r="E29" s="94" t="inlineStr">
        <is>
          <t>Trường Giang</t>
        </is>
      </c>
      <c r="F29" s="101" t="n">
        <v>46169</v>
      </c>
      <c r="G29" s="101" t="n">
        <v>46180</v>
      </c>
      <c r="H29" s="99" t="n">
        <v>12</v>
      </c>
      <c r="I29" s="94" t="inlineStr">
        <is>
          <t>Complete</t>
        </is>
      </c>
      <c r="J29" s="99" t="inlineStr">
        <is>
          <t>Medium</t>
        </is>
      </c>
      <c r="K29" s="99" t="inlineStr">
        <is>
          <t>Customer -&gt; Staff/Doctor -&gt; Invoice -&gt; Admin.</t>
        </is>
      </c>
    </row>
    <row r="30">
      <c r="B30" s="99" t="n">
        <v>2</v>
      </c>
      <c r="C30" s="99" t="inlineStr">
        <is>
          <t>4.5</t>
        </is>
      </c>
      <c r="D30" s="99" t="inlineStr">
        <is>
          <t>Staff hỗ trợ bug bash vận hành</t>
        </is>
      </c>
      <c r="E30" s="98" t="inlineStr">
        <is>
          <t>Hiệp</t>
        </is>
      </c>
      <c r="F30" s="101" t="n">
        <v>46171</v>
      </c>
      <c r="G30" s="101" t="n">
        <v>46180</v>
      </c>
      <c r="H30" s="99" t="n">
        <v>10</v>
      </c>
      <c r="I30" s="94" t="inlineStr">
        <is>
          <t>Complete</t>
        </is>
      </c>
      <c r="J30" s="99" t="inlineStr">
        <is>
          <t>Medium</t>
        </is>
      </c>
      <c r="K30" s="99" t="inlineStr">
        <is>
          <t>Kiểm tra check-in, checkout, payment và specialist queue.</t>
        </is>
      </c>
    </row>
    <row r="31">
      <c r="B31" s="99" t="n">
        <v>2</v>
      </c>
      <c r="C31" s="99" t="inlineStr">
        <is>
          <t>5.1</t>
        </is>
      </c>
      <c r="D31" s="99" t="inlineStr">
        <is>
          <t>Hoàn thiện đặc tả SRS, user stories và work log</t>
        </is>
      </c>
      <c r="E31" s="96" t="inlineStr">
        <is>
          <t>Khải</t>
        </is>
      </c>
      <c r="F31" s="101" t="n">
        <v>46181</v>
      </c>
      <c r="G31" s="101" t="n">
        <v>46184</v>
      </c>
      <c r="H31" s="99" t="n">
        <v>4</v>
      </c>
      <c r="I31" s="94" t="inlineStr">
        <is>
          <t>Complete</t>
        </is>
      </c>
      <c r="J31" s="99" t="inlineStr">
        <is>
          <t>Medium</t>
        </is>
      </c>
      <c r="K31" s="99" t="inlineStr">
        <is>
          <t>Đồng bộ DOC-11..13 và workbook kế hoạch.</t>
        </is>
      </c>
    </row>
    <row r="32">
      <c r="B32" s="99" t="n">
        <v>2</v>
      </c>
      <c r="C32" s="99" t="inlineStr">
        <is>
          <t>5.2</t>
        </is>
      </c>
      <c r="D32" s="99" t="inlineStr">
        <is>
          <t>Chuẩn bị dữ liệu demo và kịch bản trình bày</t>
        </is>
      </c>
      <c r="E32" s="97" t="inlineStr">
        <is>
          <t>Nam Anh</t>
        </is>
      </c>
      <c r="F32" s="101" t="n">
        <v>46182</v>
      </c>
      <c r="G32" s="101" t="n">
        <v>46185</v>
      </c>
      <c r="H32" s="99" t="n">
        <v>4</v>
      </c>
      <c r="I32" s="94" t="inlineStr">
        <is>
          <t>Complete</t>
        </is>
      </c>
      <c r="J32" s="99" t="inlineStr">
        <is>
          <t>Medium</t>
        </is>
      </c>
      <c r="K32" s="99" t="inlineStr">
        <is>
          <t>Kịch bản Customer -&gt; Doctor specialist -&gt; Invoice -&gt; Admin report.</t>
        </is>
      </c>
    </row>
    <row r="33">
      <c r="B33" s="99" t="n">
        <v>2</v>
      </c>
      <c r="C33" s="99" t="inlineStr">
        <is>
          <t>5.3</t>
        </is>
      </c>
      <c r="D33" s="99" t="inlineStr">
        <is>
          <t>Tổng hợp dashboard báo cáo dự án</t>
        </is>
      </c>
      <c r="E33" s="98" t="inlineStr">
        <is>
          <t>Hiệp</t>
        </is>
      </c>
      <c r="F33" s="101" t="n">
        <v>46183</v>
      </c>
      <c r="G33" s="101" t="n">
        <v>46186</v>
      </c>
      <c r="H33" s="99" t="n">
        <v>4</v>
      </c>
      <c r="I33" s="94" t="inlineStr">
        <is>
          <t>Complete</t>
        </is>
      </c>
      <c r="J33" s="99" t="inlineStr">
        <is>
          <t>Medium</t>
        </is>
      </c>
      <c r="K33" s="99" t="inlineStr">
        <is>
          <t>Cập nhật biểu đồ tiến độ, trạng thái và phân bổ thành viên.</t>
        </is>
      </c>
    </row>
    <row r="34">
      <c r="B34" s="99" t="n">
        <v>2</v>
      </c>
      <c r="C34" s="99" t="inlineStr">
        <is>
          <t>5.4</t>
        </is>
      </c>
      <c r="D34" s="99" t="inlineStr">
        <is>
          <t>Tài liệu kỹ thuật và checklist bàn giao</t>
        </is>
      </c>
      <c r="E34" s="94" t="inlineStr">
        <is>
          <t>Trường Giang</t>
        </is>
      </c>
      <c r="F34" s="101" t="n">
        <v>46183</v>
      </c>
      <c r="G34" s="101" t="n">
        <v>46186</v>
      </c>
      <c r="H34" s="99" t="n">
        <v>4</v>
      </c>
      <c r="I34" s="94" t="inlineStr">
        <is>
          <t>Complete</t>
        </is>
      </c>
      <c r="J34" s="99" t="inlineStr">
        <is>
          <t>Medium</t>
        </is>
      </c>
      <c r="K34" s="99" t="inlineStr">
        <is>
          <t>Checklist API, database, deployment và test evidence.</t>
        </is>
      </c>
    </row>
    <row r="35">
      <c r="B35" s="99" t="n">
        <v>2</v>
      </c>
      <c r="C35" s="99" t="inlineStr">
        <is>
          <t>5.5</t>
        </is>
      </c>
      <c r="D35" s="99" t="inlineStr">
        <is>
          <t>Demo, nghiệm thu và retrospective</t>
        </is>
      </c>
      <c r="E35" s="95" t="inlineStr">
        <is>
          <t>Hiếu</t>
        </is>
      </c>
      <c r="F35" s="101" t="n">
        <v>46186</v>
      </c>
      <c r="G35" s="101" t="n">
        <v>46187</v>
      </c>
      <c r="H35" s="99" t="n">
        <v>2</v>
      </c>
      <c r="I35" s="94" t="inlineStr">
        <is>
          <t>Complete</t>
        </is>
      </c>
      <c r="J35" s="99" t="inlineStr">
        <is>
          <t>Medium</t>
        </is>
      </c>
      <c r="K35" s="99" t="inlineStr">
        <is>
          <t>Demo cuối, ghi nhận feedback và bàn giao.</t>
        </is>
      </c>
    </row>
    <row r="36"/>
    <row r="37"/>
    <row r="38">
      <c r="B38" s="94" t="inlineStr">
        <is>
          <t>Status</t>
        </is>
      </c>
      <c r="C38" s="94" t="inlineStr">
        <is>
          <t>Count</t>
        </is>
      </c>
      <c r="E38" s="95" t="inlineStr">
        <is>
          <t>Priority</t>
        </is>
      </c>
      <c r="F38" s="95" t="inlineStr">
        <is>
          <t>Count</t>
        </is>
      </c>
      <c r="H38" s="96" t="inlineStr">
        <is>
          <t>Member</t>
        </is>
      </c>
      <c r="I38" s="96" t="inlineStr">
        <is>
          <t>SP</t>
        </is>
      </c>
      <c r="K38" s="97" t="inlineStr">
        <is>
          <t>Sprint</t>
        </is>
      </c>
      <c r="L38" s="97" t="inlineStr">
        <is>
          <t>Start</t>
        </is>
      </c>
      <c r="M38" s="97" t="inlineStr">
        <is>
          <t>Finish</t>
        </is>
      </c>
      <c r="N38" s="97" t="inlineStr">
        <is>
          <t>SP</t>
        </is>
      </c>
      <c r="P38" s="98" t="inlineStr">
        <is>
          <t>Phase</t>
        </is>
      </c>
      <c r="Q38" s="98" t="inlineStr">
        <is>
          <t>Days</t>
        </is>
      </c>
    </row>
    <row r="39">
      <c r="B39" s="99" t="inlineStr">
        <is>
          <t>Complete</t>
        </is>
      </c>
      <c r="C39" s="99" t="n">
        <v>29</v>
      </c>
      <c r="E39" s="99" t="inlineStr">
        <is>
          <t>High</t>
        </is>
      </c>
      <c r="F39" s="99" t="n">
        <v>19</v>
      </c>
      <c r="H39" s="97" t="inlineStr">
        <is>
          <t>Nam Anh</t>
        </is>
      </c>
      <c r="I39" s="99" t="n">
        <v>81</v>
      </c>
      <c r="K39" s="99" t="inlineStr">
        <is>
          <t>Sprint 0</t>
        </is>
      </c>
      <c r="L39" s="100" t="n">
        <v>46113</v>
      </c>
      <c r="M39" s="100" t="n">
        <v>46119</v>
      </c>
      <c r="N39" s="99" t="n">
        <v>22</v>
      </c>
      <c r="P39" s="99" t="inlineStr">
        <is>
          <t>Code Development</t>
        </is>
      </c>
      <c r="Q39" s="99" t="n">
        <v>68</v>
      </c>
    </row>
    <row r="40">
      <c r="E40" s="99" t="inlineStr">
        <is>
          <t>Medium</t>
        </is>
      </c>
      <c r="F40" s="99" t="n">
        <v>10</v>
      </c>
      <c r="H40" s="94" t="inlineStr">
        <is>
          <t>Trường Giang</t>
        </is>
      </c>
      <c r="I40" s="99" t="n">
        <v>82</v>
      </c>
      <c r="K40" s="99" t="inlineStr">
        <is>
          <t>Sprint 1</t>
        </is>
      </c>
      <c r="L40" s="100" t="n">
        <v>46120</v>
      </c>
      <c r="M40" s="100" t="n">
        <v>46133</v>
      </c>
      <c r="N40" s="99" t="n">
        <v>109</v>
      </c>
      <c r="P40" s="99" t="inlineStr">
        <is>
          <t>Docs / Demo / Handoff</t>
        </is>
      </c>
      <c r="Q40" s="99" t="n">
        <v>7</v>
      </c>
    </row>
    <row r="41">
      <c r="E41" s="99" t="inlineStr">
        <is>
          <t>Low</t>
        </is>
      </c>
      <c r="F41" s="99" t="n">
        <v>0</v>
      </c>
      <c r="H41" s="95" t="inlineStr">
        <is>
          <t>Hiếu</t>
        </is>
      </c>
      <c r="I41" s="99" t="n">
        <v>82</v>
      </c>
      <c r="K41" s="99" t="inlineStr">
        <is>
          <t>Sprint 2</t>
        </is>
      </c>
      <c r="L41" s="100" t="n">
        <v>46134</v>
      </c>
      <c r="M41" s="100" t="n">
        <v>46147</v>
      </c>
      <c r="N41" s="99" t="n">
        <v>128</v>
      </c>
    </row>
    <row r="42">
      <c r="H42" s="98" t="inlineStr">
        <is>
          <t>Hiệp</t>
        </is>
      </c>
      <c r="I42" s="99" t="n">
        <v>82</v>
      </c>
      <c r="K42" s="99" t="inlineStr">
        <is>
          <t>Sprint 3</t>
        </is>
      </c>
      <c r="L42" s="100" t="n">
        <v>46148</v>
      </c>
      <c r="M42" s="100" t="n">
        <v>46161</v>
      </c>
      <c r="N42" s="99" t="n">
        <v>42</v>
      </c>
    </row>
    <row r="43">
      <c r="H43" s="96" t="inlineStr">
        <is>
          <t>Khải</t>
        </is>
      </c>
      <c r="I43" s="99" t="n">
        <v>83</v>
      </c>
      <c r="K43" s="99" t="inlineStr">
        <is>
          <t>Sprint 4</t>
        </is>
      </c>
      <c r="L43" s="100" t="n">
        <v>46162</v>
      </c>
      <c r="M43" s="100" t="n">
        <v>46180</v>
      </c>
      <c r="N43" s="99" t="n">
        <v>72</v>
      </c>
    </row>
    <row r="44">
      <c r="K44" s="99" t="inlineStr">
        <is>
          <t>Sprint 5</t>
        </is>
      </c>
      <c r="L44" s="100" t="n">
        <v>46181</v>
      </c>
      <c r="M44" s="100" t="n">
        <v>46187</v>
      </c>
      <c r="N44" s="99" t="n">
        <v>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Alexandra Ragazhinskaya</dc:creator>
  <dcterms:created xmlns:dcterms="http://purl.org/dc/terms/" xmlns:xsi="http://www.w3.org/2001/XMLSchema-instance" xsi:type="dcterms:W3CDTF">2015-02-24T20:54:23Z</dcterms:created>
  <dcterms:modified xmlns:dcterms="http://purl.org/dc/terms/" xmlns:xsi="http://www.w3.org/2001/XMLSchema-instance" xsi:type="dcterms:W3CDTF">2026-06-20T01:20:02Z</dcterms:modified>
  <cp:lastModifiedBy>Tran Duc Nam Anh 20235655</cp:lastModifiedBy>
</cp:coreProperties>
</file>